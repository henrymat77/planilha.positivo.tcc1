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Projeto uerj\"/>
    </mc:Choice>
  </mc:AlternateContent>
  <xr:revisionPtr revIDLastSave="0" documentId="8_{B12F30FA-FF08-4301-A3BC-733CA7DE5350}" xr6:coauthVersionLast="47" xr6:coauthVersionMax="47" xr10:uidLastSave="{00000000-0000-0000-0000-000000000000}"/>
  <bookViews>
    <workbookView xWindow="3195" yWindow="2790" windowWidth="21600" windowHeight="11385" firstSheet="4" xr2:uid="{0A366BD7-C7C8-4751-B977-6B5965C5D51E}"/>
  </bookViews>
  <sheets>
    <sheet name="BP" sheetId="1" r:id="rId1"/>
    <sheet name="DRE" sheetId="2" r:id="rId2"/>
    <sheet name="DFC" sheetId="9" r:id="rId3"/>
    <sheet name="DFC - AH E AV" sheetId="11" r:id="rId4"/>
    <sheet name="BP - AH e AV" sheetId="5" r:id="rId5"/>
    <sheet name="DRE - AH e AV" sheetId="6" r:id="rId6"/>
    <sheet name="índices" sheetId="7" r:id="rId7"/>
  </sheets>
  <definedNames>
    <definedName name="BP">BP!$B$4:$J$77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3" i="5"/>
  <c r="D4" i="11"/>
  <c r="D5" i="11"/>
  <c r="D6" i="11"/>
  <c r="D7" i="11"/>
  <c r="D8" i="11"/>
  <c r="D9" i="11"/>
  <c r="D10" i="11"/>
  <c r="D11" i="11"/>
  <c r="D13" i="11"/>
  <c r="D14" i="11"/>
  <c r="D15" i="11"/>
  <c r="D20" i="11"/>
  <c r="D21" i="11"/>
  <c r="D22" i="11"/>
  <c r="D23" i="11"/>
  <c r="D24" i="11"/>
  <c r="D26" i="11"/>
  <c r="D27" i="11"/>
  <c r="D28" i="11"/>
  <c r="D29" i="11"/>
  <c r="D31" i="11"/>
  <c r="D34" i="11"/>
  <c r="D38" i="11"/>
  <c r="D39" i="11"/>
  <c r="D42" i="11"/>
  <c r="D45" i="11"/>
  <c r="D47" i="11"/>
  <c r="D48" i="11"/>
  <c r="D51" i="11"/>
  <c r="D53" i="11"/>
  <c r="D54" i="11"/>
  <c r="D55" i="11"/>
  <c r="D56" i="11"/>
  <c r="D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3" i="11"/>
  <c r="G4" i="11"/>
  <c r="G5" i="11"/>
  <c r="G6" i="11"/>
  <c r="G7" i="11"/>
  <c r="G8" i="11"/>
  <c r="G9" i="11"/>
  <c r="G10" i="11"/>
  <c r="G11" i="11"/>
  <c r="G13" i="11"/>
  <c r="G14" i="11"/>
  <c r="G15" i="11"/>
  <c r="G20" i="11"/>
  <c r="G21" i="11"/>
  <c r="G22" i="11"/>
  <c r="G23" i="11"/>
  <c r="G24" i="11"/>
  <c r="G26" i="11"/>
  <c r="G27" i="11"/>
  <c r="G28" i="11"/>
  <c r="G29" i="11"/>
  <c r="G31" i="11"/>
  <c r="G34" i="11"/>
  <c r="G38" i="11"/>
  <c r="G39" i="11"/>
  <c r="G42" i="11"/>
  <c r="G45" i="11"/>
  <c r="G47" i="11"/>
  <c r="G48" i="11"/>
  <c r="G51" i="11"/>
  <c r="G53" i="11"/>
  <c r="G54" i="11"/>
  <c r="G55" i="11"/>
  <c r="G56" i="11"/>
  <c r="G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3" i="11"/>
  <c r="J4" i="11"/>
  <c r="J5" i="11"/>
  <c r="J6" i="11"/>
  <c r="J7" i="11"/>
  <c r="J8" i="11"/>
  <c r="J9" i="11"/>
  <c r="J10" i="11"/>
  <c r="J11" i="11"/>
  <c r="J13" i="11"/>
  <c r="J14" i="11"/>
  <c r="J15" i="11"/>
  <c r="J20" i="11"/>
  <c r="J21" i="11"/>
  <c r="J22" i="11"/>
  <c r="J23" i="11"/>
  <c r="J24" i="11"/>
  <c r="J26" i="11"/>
  <c r="J27" i="11"/>
  <c r="J28" i="11"/>
  <c r="J29" i="11"/>
  <c r="J31" i="11"/>
  <c r="J34" i="11"/>
  <c r="J38" i="11"/>
  <c r="J39" i="11"/>
  <c r="J42" i="11"/>
  <c r="J45" i="11"/>
  <c r="J47" i="11"/>
  <c r="J48" i="11"/>
  <c r="J51" i="11"/>
  <c r="J53" i="11"/>
  <c r="J54" i="11"/>
  <c r="J55" i="11"/>
  <c r="J56" i="11"/>
  <c r="J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3" i="11"/>
  <c r="M4" i="11"/>
  <c r="M5" i="11"/>
  <c r="M6" i="11"/>
  <c r="M7" i="11"/>
  <c r="M8" i="11"/>
  <c r="M9" i="11"/>
  <c r="M10" i="11"/>
  <c r="M11" i="11"/>
  <c r="M13" i="11"/>
  <c r="M14" i="11"/>
  <c r="M15" i="11"/>
  <c r="M20" i="11"/>
  <c r="M21" i="11"/>
  <c r="M22" i="11"/>
  <c r="M23" i="11"/>
  <c r="M24" i="11"/>
  <c r="M26" i="11"/>
  <c r="M27" i="11"/>
  <c r="M28" i="11"/>
  <c r="M29" i="11"/>
  <c r="M31" i="11"/>
  <c r="M34" i="11"/>
  <c r="M38" i="11"/>
  <c r="M39" i="11"/>
  <c r="M42" i="11"/>
  <c r="M45" i="11"/>
  <c r="M47" i="11"/>
  <c r="M48" i="11"/>
  <c r="M51" i="11"/>
  <c r="M53" i="11"/>
  <c r="M54" i="11"/>
  <c r="M55" i="11"/>
  <c r="M56" i="11"/>
  <c r="M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3" i="11"/>
  <c r="P4" i="11"/>
  <c r="P5" i="11"/>
  <c r="P6" i="11"/>
  <c r="P7" i="11"/>
  <c r="P8" i="11"/>
  <c r="P9" i="11"/>
  <c r="P10" i="11"/>
  <c r="P11" i="11"/>
  <c r="P13" i="11"/>
  <c r="P14" i="11"/>
  <c r="P15" i="11"/>
  <c r="P20" i="11"/>
  <c r="P21" i="11"/>
  <c r="P22" i="11"/>
  <c r="P23" i="11"/>
  <c r="P24" i="11"/>
  <c r="P26" i="11"/>
  <c r="P27" i="11"/>
  <c r="P28" i="11"/>
  <c r="P29" i="11"/>
  <c r="P31" i="11"/>
  <c r="P34" i="11"/>
  <c r="P38" i="11"/>
  <c r="P39" i="11"/>
  <c r="P42" i="11"/>
  <c r="P45" i="11"/>
  <c r="P47" i="11"/>
  <c r="P48" i="11"/>
  <c r="P51" i="11"/>
  <c r="P53" i="11"/>
  <c r="P54" i="11"/>
  <c r="P55" i="11"/>
  <c r="P56" i="11"/>
  <c r="P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3" i="11"/>
  <c r="S4" i="11"/>
  <c r="S5" i="11"/>
  <c r="S6" i="11"/>
  <c r="S7" i="11"/>
  <c r="S8" i="11"/>
  <c r="S9" i="11"/>
  <c r="S10" i="11"/>
  <c r="S11" i="11"/>
  <c r="S13" i="11"/>
  <c r="S14" i="11"/>
  <c r="S15" i="11"/>
  <c r="S20" i="11"/>
  <c r="S21" i="11"/>
  <c r="S22" i="11"/>
  <c r="S23" i="11"/>
  <c r="S24" i="11"/>
  <c r="S26" i="11"/>
  <c r="S27" i="11"/>
  <c r="S28" i="11"/>
  <c r="S29" i="11"/>
  <c r="S31" i="11"/>
  <c r="S34" i="11"/>
  <c r="S38" i="11"/>
  <c r="S39" i="11"/>
  <c r="S42" i="11"/>
  <c r="S45" i="11"/>
  <c r="S47" i="11"/>
  <c r="S48" i="11"/>
  <c r="S51" i="11"/>
  <c r="S53" i="11"/>
  <c r="S54" i="11"/>
  <c r="S55" i="11"/>
  <c r="S56" i="11"/>
  <c r="S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3" i="11"/>
  <c r="V34" i="11"/>
  <c r="V4" i="11"/>
  <c r="V5" i="11"/>
  <c r="V6" i="11"/>
  <c r="V7" i="11"/>
  <c r="V8" i="11"/>
  <c r="V9" i="11"/>
  <c r="V10" i="11"/>
  <c r="V11" i="11"/>
  <c r="V13" i="11"/>
  <c r="V14" i="11"/>
  <c r="V15" i="11"/>
  <c r="V20" i="11"/>
  <c r="V21" i="11"/>
  <c r="V22" i="11"/>
  <c r="V23" i="11"/>
  <c r="V24" i="11"/>
  <c r="V26" i="11"/>
  <c r="V27" i="11"/>
  <c r="V28" i="11"/>
  <c r="V29" i="11"/>
  <c r="V31" i="11"/>
  <c r="V38" i="11"/>
  <c r="V39" i="11"/>
  <c r="V42" i="11"/>
  <c r="V45" i="11"/>
  <c r="V47" i="11"/>
  <c r="V48" i="11"/>
  <c r="V51" i="11"/>
  <c r="V53" i="11"/>
  <c r="V54" i="11"/>
  <c r="V55" i="11"/>
  <c r="V56" i="11"/>
  <c r="V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3" i="11"/>
  <c r="M71" i="7"/>
  <c r="M61" i="7"/>
  <c r="N61" i="7"/>
  <c r="M49" i="7"/>
  <c r="M51" i="7"/>
  <c r="M44" i="7"/>
  <c r="M46" i="7"/>
  <c r="M45" i="7"/>
  <c r="M14" i="7"/>
  <c r="M32" i="7"/>
  <c r="M31" i="7"/>
  <c r="W36" i="7"/>
  <c r="W37" i="7"/>
  <c r="X37" i="7"/>
  <c r="W30" i="7"/>
  <c r="W32" i="7"/>
  <c r="X32" i="7"/>
  <c r="W25" i="7"/>
  <c r="W27" i="7"/>
  <c r="W26" i="7"/>
  <c r="X26" i="7"/>
  <c r="W22" i="7"/>
  <c r="W19" i="7"/>
  <c r="W21" i="7"/>
  <c r="W20" i="7"/>
  <c r="W13" i="7"/>
  <c r="W15" i="7"/>
  <c r="X15" i="7"/>
  <c r="W14" i="7"/>
  <c r="W10" i="7"/>
  <c r="X9" i="7"/>
  <c r="W4" i="7"/>
  <c r="X4" i="7"/>
  <c r="Y4" i="7"/>
  <c r="W5" i="7"/>
  <c r="X5" i="7"/>
  <c r="Z4" i="7"/>
  <c r="M35" i="7"/>
  <c r="M40" i="7"/>
  <c r="M39" i="7"/>
  <c r="M28" i="7"/>
  <c r="M23" i="7"/>
  <c r="M18" i="7"/>
  <c r="M13" i="7"/>
  <c r="M8" i="7"/>
  <c r="M3" i="7"/>
  <c r="N5" i="7"/>
  <c r="C68" i="7"/>
  <c r="C87" i="7"/>
  <c r="C79" i="7"/>
  <c r="M67" i="7"/>
  <c r="C73" i="7"/>
  <c r="M66" i="7"/>
  <c r="M65" i="7"/>
  <c r="C66" i="7"/>
  <c r="M62" i="7"/>
  <c r="M60" i="7"/>
  <c r="D68" i="7"/>
  <c r="C60" i="7"/>
  <c r="M57" i="7"/>
  <c r="C54" i="7"/>
  <c r="M56" i="7"/>
  <c r="M55" i="7"/>
  <c r="C46" i="7"/>
  <c r="C40" i="7"/>
  <c r="C35" i="7"/>
  <c r="C30" i="7"/>
  <c r="E31" i="7"/>
  <c r="F31" i="7"/>
  <c r="C24" i="7"/>
  <c r="C16" i="7"/>
  <c r="C10" i="7"/>
  <c r="C3" i="7"/>
  <c r="D3" i="7"/>
  <c r="E11" i="6"/>
  <c r="C6" i="6"/>
  <c r="C6" i="2"/>
  <c r="E5" i="6"/>
  <c r="E6" i="6"/>
  <c r="E7" i="6"/>
  <c r="E8" i="6"/>
  <c r="E10" i="6"/>
  <c r="E13" i="6"/>
  <c r="E14" i="6"/>
  <c r="E15" i="6"/>
  <c r="E16" i="6"/>
  <c r="E17" i="6"/>
  <c r="E18" i="6"/>
  <c r="E19" i="6"/>
  <c r="E20" i="6"/>
  <c r="E21" i="6"/>
  <c r="E22" i="6"/>
  <c r="H4" i="6"/>
  <c r="E4" i="6"/>
  <c r="H3" i="6"/>
  <c r="E3" i="6"/>
  <c r="K3" i="6"/>
  <c r="D4" i="6"/>
  <c r="D5" i="6"/>
  <c r="D6" i="6"/>
  <c r="D7" i="6"/>
  <c r="D8" i="6"/>
  <c r="D9" i="6"/>
  <c r="D10" i="6"/>
  <c r="D13" i="6"/>
  <c r="D14" i="6"/>
  <c r="D15" i="6"/>
  <c r="D16" i="6"/>
  <c r="D17" i="6"/>
  <c r="D18" i="6"/>
  <c r="D19" i="6"/>
  <c r="D20" i="6"/>
  <c r="D21" i="6"/>
  <c r="D22" i="6"/>
  <c r="D3" i="6"/>
  <c r="G3" i="6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H5" i="5"/>
  <c r="H4" i="5"/>
  <c r="K7" i="5"/>
  <c r="K5" i="5"/>
  <c r="K3" i="5"/>
  <c r="H3" i="5"/>
  <c r="D75" i="5"/>
  <c r="D4" i="5"/>
  <c r="D5" i="5"/>
  <c r="D7" i="5"/>
  <c r="D8" i="5"/>
  <c r="D9" i="5"/>
  <c r="D13" i="5"/>
  <c r="D14" i="5"/>
  <c r="D15" i="5"/>
  <c r="D16" i="5"/>
  <c r="D17" i="5"/>
  <c r="D18" i="5"/>
  <c r="D20" i="5"/>
  <c r="D21" i="5"/>
  <c r="D22" i="5"/>
  <c r="D23" i="5"/>
  <c r="D24" i="5"/>
  <c r="D26" i="5"/>
  <c r="D27" i="5"/>
  <c r="D28" i="5"/>
  <c r="D30" i="5"/>
  <c r="D33" i="5"/>
  <c r="D34" i="5"/>
  <c r="D35" i="5"/>
  <c r="D36" i="5"/>
  <c r="D37" i="5"/>
  <c r="D41" i="5"/>
  <c r="D44" i="5"/>
  <c r="D45" i="5"/>
  <c r="D46" i="5"/>
  <c r="D47" i="5"/>
  <c r="D49" i="5"/>
  <c r="D50" i="5"/>
  <c r="D53" i="5"/>
  <c r="D54" i="5"/>
  <c r="D55" i="5"/>
  <c r="D56" i="5"/>
  <c r="D59" i="5"/>
  <c r="D62" i="5"/>
  <c r="D63" i="5"/>
  <c r="D66" i="5"/>
  <c r="D67" i="5"/>
  <c r="D68" i="5"/>
  <c r="D69" i="5"/>
  <c r="D70" i="5"/>
  <c r="D71" i="5"/>
  <c r="D3" i="5"/>
  <c r="G3" i="5"/>
  <c r="C75" i="5"/>
  <c r="C77" i="1"/>
  <c r="C26" i="5"/>
  <c r="C28" i="1"/>
  <c r="D28" i="1"/>
  <c r="AA37" i="7"/>
  <c r="D75" i="7"/>
  <c r="D86" i="7"/>
  <c r="X8" i="6"/>
  <c r="X6" i="6"/>
  <c r="U8" i="6"/>
  <c r="U6" i="6"/>
  <c r="O6" i="6"/>
  <c r="R8" i="6"/>
  <c r="R6" i="6"/>
  <c r="O8" i="6"/>
  <c r="L8" i="6"/>
  <c r="L6" i="6"/>
  <c r="I8" i="6"/>
  <c r="I6" i="6"/>
  <c r="F8" i="6"/>
  <c r="F6" i="6"/>
  <c r="V5" i="5"/>
  <c r="F75" i="5"/>
  <c r="F26" i="5"/>
  <c r="I75" i="5"/>
  <c r="I26" i="5"/>
  <c r="L75" i="5"/>
  <c r="L26" i="5"/>
  <c r="O75" i="5"/>
  <c r="O26" i="5"/>
  <c r="R75" i="5"/>
  <c r="R26" i="5"/>
  <c r="U75" i="5"/>
  <c r="U26" i="5"/>
  <c r="X75" i="5"/>
  <c r="X26" i="5"/>
  <c r="F77" i="1"/>
  <c r="I77" i="1"/>
  <c r="J77" i="1"/>
  <c r="I28" i="1"/>
  <c r="J28" i="1"/>
  <c r="X14" i="7"/>
  <c r="X20" i="7"/>
  <c r="X21" i="7"/>
  <c r="X27" i="7"/>
  <c r="X31" i="7"/>
  <c r="X36" i="7"/>
  <c r="X10" i="7"/>
  <c r="N50" i="7"/>
  <c r="N41" i="7"/>
  <c r="N36" i="7"/>
  <c r="N35" i="7"/>
  <c r="N40" i="7"/>
  <c r="N30" i="7"/>
  <c r="N29" i="7"/>
  <c r="N25" i="7"/>
  <c r="N24" i="7"/>
  <c r="N20" i="7"/>
  <c r="N19" i="7"/>
  <c r="N15" i="7"/>
  <c r="N10" i="7"/>
  <c r="N9" i="7"/>
  <c r="N8" i="7"/>
  <c r="N4" i="7"/>
  <c r="N3" i="7"/>
  <c r="D30" i="7"/>
  <c r="D35" i="7"/>
  <c r="D60" i="7"/>
  <c r="N57" i="7"/>
  <c r="D88" i="7"/>
  <c r="C88" i="7"/>
  <c r="D80" i="7"/>
  <c r="D81" i="7"/>
  <c r="D74" i="7"/>
  <c r="D73" i="7"/>
  <c r="N66" i="7"/>
  <c r="D87" i="7"/>
  <c r="D55" i="7"/>
  <c r="D54" i="7"/>
  <c r="N56" i="7"/>
  <c r="N55" i="7"/>
  <c r="D48" i="7"/>
  <c r="D47" i="7"/>
  <c r="D49" i="7"/>
  <c r="D20" i="7"/>
  <c r="D17" i="7"/>
  <c r="H5" i="6"/>
  <c r="H7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G4" i="6"/>
  <c r="G5" i="6"/>
  <c r="G7" i="6"/>
  <c r="G9" i="6"/>
  <c r="G10" i="6"/>
  <c r="G13" i="6"/>
  <c r="G14" i="6"/>
  <c r="G15" i="6"/>
  <c r="G16" i="6"/>
  <c r="G17" i="6"/>
  <c r="G18" i="6"/>
  <c r="G19" i="6"/>
  <c r="G20" i="6"/>
  <c r="G21" i="6"/>
  <c r="G22" i="6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G4" i="5"/>
  <c r="G5" i="5"/>
  <c r="G7" i="5"/>
  <c r="G8" i="5"/>
  <c r="G9" i="5"/>
  <c r="G13" i="5"/>
  <c r="G14" i="5"/>
  <c r="G15" i="5"/>
  <c r="G16" i="5"/>
  <c r="G17" i="5"/>
  <c r="G18" i="5"/>
  <c r="G20" i="5"/>
  <c r="G21" i="5"/>
  <c r="G22" i="5"/>
  <c r="G23" i="5"/>
  <c r="G24" i="5"/>
  <c r="G27" i="5"/>
  <c r="G28" i="5"/>
  <c r="G30" i="5"/>
  <c r="G33" i="5"/>
  <c r="G34" i="5"/>
  <c r="G35" i="5"/>
  <c r="G37" i="5"/>
  <c r="G41" i="5"/>
  <c r="G45" i="5"/>
  <c r="G46" i="5"/>
  <c r="G47" i="5"/>
  <c r="G49" i="5"/>
  <c r="G50" i="5"/>
  <c r="G53" i="5"/>
  <c r="G54" i="5"/>
  <c r="G55" i="5"/>
  <c r="G56" i="5"/>
  <c r="G59" i="5"/>
  <c r="G62" i="5"/>
  <c r="G63" i="5"/>
  <c r="G66" i="5"/>
  <c r="G67" i="5"/>
  <c r="G68" i="5"/>
  <c r="G69" i="5"/>
  <c r="G70" i="5"/>
  <c r="G71" i="5"/>
  <c r="H75" i="5"/>
  <c r="H26" i="5"/>
  <c r="D8" i="2"/>
  <c r="D6" i="2"/>
  <c r="E6" i="2"/>
  <c r="D77" i="1"/>
  <c r="E28" i="1"/>
  <c r="AD5" i="7"/>
  <c r="AD9" i="7"/>
  <c r="AD37" i="7"/>
  <c r="AD15" i="7"/>
  <c r="AD14" i="7"/>
  <c r="I26" i="7"/>
  <c r="H26" i="7"/>
  <c r="G26" i="7"/>
  <c r="F26" i="7"/>
  <c r="E26" i="7"/>
  <c r="D79" i="7"/>
  <c r="N67" i="7"/>
  <c r="D26" i="7"/>
  <c r="D24" i="7"/>
  <c r="D10" i="7"/>
  <c r="X30" i="7"/>
  <c r="X25" i="7"/>
  <c r="X22" i="7"/>
  <c r="X19" i="7"/>
  <c r="N14" i="7"/>
  <c r="X13" i="7"/>
  <c r="X8" i="7"/>
  <c r="X3" i="7"/>
  <c r="N65" i="7"/>
  <c r="N71" i="7"/>
  <c r="N39" i="7"/>
  <c r="N23" i="7"/>
  <c r="N18" i="7"/>
  <c r="D85" i="7"/>
  <c r="N72" i="7"/>
  <c r="D16" i="7"/>
  <c r="D46" i="7"/>
  <c r="D66" i="7"/>
  <c r="N62" i="7"/>
  <c r="N60" i="7"/>
  <c r="D40" i="7"/>
  <c r="AD13" i="7"/>
  <c r="AD36" i="7"/>
  <c r="AD10" i="7"/>
  <c r="AD8" i="7"/>
  <c r="AD4" i="7"/>
  <c r="AD3" i="7"/>
  <c r="T41" i="7"/>
  <c r="T50" i="7"/>
  <c r="T36" i="7"/>
  <c r="T35" i="7"/>
  <c r="T40" i="7"/>
  <c r="AD32" i="7"/>
  <c r="AB32" i="7"/>
  <c r="AD31" i="7"/>
  <c r="T25" i="7"/>
  <c r="T20" i="7"/>
  <c r="T30" i="7"/>
  <c r="AD27" i="7"/>
  <c r="AD26" i="7"/>
  <c r="AD21" i="7"/>
  <c r="AD20" i="7"/>
  <c r="T9" i="7"/>
  <c r="T19" i="7"/>
  <c r="T5" i="7"/>
  <c r="T10" i="7"/>
  <c r="T15" i="7"/>
  <c r="T4" i="7"/>
  <c r="J88" i="7"/>
  <c r="J82" i="7"/>
  <c r="J76" i="7"/>
  <c r="J75" i="7"/>
  <c r="J74" i="7"/>
  <c r="J69" i="7"/>
  <c r="J68" i="7"/>
  <c r="J87" i="7"/>
  <c r="I68" i="7"/>
  <c r="J26" i="7"/>
  <c r="J24" i="7"/>
  <c r="J63" i="7"/>
  <c r="J81" i="7"/>
  <c r="J80" i="7"/>
  <c r="J57" i="7"/>
  <c r="J55" i="7"/>
  <c r="J48" i="7"/>
  <c r="J47" i="7"/>
  <c r="J32" i="7"/>
  <c r="J49" i="7"/>
  <c r="J31" i="7"/>
  <c r="J20" i="7"/>
  <c r="J17" i="7"/>
  <c r="V59" i="5"/>
  <c r="V4" i="5"/>
  <c r="V7" i="5"/>
  <c r="V8" i="5"/>
  <c r="V9" i="5"/>
  <c r="V13" i="5"/>
  <c r="V14" i="5"/>
  <c r="V15" i="5"/>
  <c r="V16" i="5"/>
  <c r="V17" i="5"/>
  <c r="V18" i="5"/>
  <c r="V20" i="5"/>
  <c r="V21" i="5"/>
  <c r="V22" i="5"/>
  <c r="V23" i="5"/>
  <c r="V24" i="5"/>
  <c r="V27" i="5"/>
  <c r="V28" i="5"/>
  <c r="V30" i="5"/>
  <c r="V33" i="5"/>
  <c r="V35" i="5"/>
  <c r="V37" i="5"/>
  <c r="V41" i="5"/>
  <c r="V45" i="5"/>
  <c r="V46" i="5"/>
  <c r="V47" i="5"/>
  <c r="V49" i="5"/>
  <c r="V50" i="5"/>
  <c r="V53" i="5"/>
  <c r="V54" i="5"/>
  <c r="V55" i="5"/>
  <c r="V56" i="5"/>
  <c r="V62" i="5"/>
  <c r="V63" i="5"/>
  <c r="V66" i="5"/>
  <c r="V67" i="5"/>
  <c r="V68" i="5"/>
  <c r="V69" i="5"/>
  <c r="V70" i="5"/>
  <c r="V71" i="5"/>
  <c r="V3" i="5"/>
  <c r="S4" i="5"/>
  <c r="S5" i="5"/>
  <c r="S7" i="5"/>
  <c r="S8" i="5"/>
  <c r="S9" i="5"/>
  <c r="S13" i="5"/>
  <c r="S14" i="5"/>
  <c r="S15" i="5"/>
  <c r="S16" i="5"/>
  <c r="S17" i="5"/>
  <c r="S18" i="5"/>
  <c r="S20" i="5"/>
  <c r="S21" i="5"/>
  <c r="S22" i="5"/>
  <c r="S23" i="5"/>
  <c r="S24" i="5"/>
  <c r="S27" i="5"/>
  <c r="S28" i="5"/>
  <c r="S30" i="5"/>
  <c r="S33" i="5"/>
  <c r="S34" i="5"/>
  <c r="S35" i="5"/>
  <c r="S37" i="5"/>
  <c r="S41" i="5"/>
  <c r="S45" i="5"/>
  <c r="S46" i="5"/>
  <c r="S47" i="5"/>
  <c r="S49" i="5"/>
  <c r="S50" i="5"/>
  <c r="S53" i="5"/>
  <c r="S54" i="5"/>
  <c r="S55" i="5"/>
  <c r="S56" i="5"/>
  <c r="S59" i="5"/>
  <c r="S62" i="5"/>
  <c r="S63" i="5"/>
  <c r="S66" i="5"/>
  <c r="S67" i="5"/>
  <c r="S68" i="5"/>
  <c r="S69" i="5"/>
  <c r="S70" i="5"/>
  <c r="S71" i="5"/>
  <c r="S3" i="5"/>
  <c r="P4" i="5"/>
  <c r="P5" i="5"/>
  <c r="P7" i="5"/>
  <c r="P8" i="5"/>
  <c r="P9" i="5"/>
  <c r="P13" i="5"/>
  <c r="P14" i="5"/>
  <c r="P15" i="5"/>
  <c r="P16" i="5"/>
  <c r="P17" i="5"/>
  <c r="P18" i="5"/>
  <c r="P20" i="5"/>
  <c r="P21" i="5"/>
  <c r="P22" i="5"/>
  <c r="P23" i="5"/>
  <c r="P24" i="5"/>
  <c r="P27" i="5"/>
  <c r="P28" i="5"/>
  <c r="P30" i="5"/>
  <c r="P33" i="5"/>
  <c r="P34" i="5"/>
  <c r="P35" i="5"/>
  <c r="P37" i="5"/>
  <c r="P41" i="5"/>
  <c r="P45" i="5"/>
  <c r="P46" i="5"/>
  <c r="P47" i="5"/>
  <c r="P49" i="5"/>
  <c r="P50" i="5"/>
  <c r="P53" i="5"/>
  <c r="P54" i="5"/>
  <c r="P55" i="5"/>
  <c r="P56" i="5"/>
  <c r="P59" i="5"/>
  <c r="P62" i="5"/>
  <c r="P63" i="5"/>
  <c r="P66" i="5"/>
  <c r="P67" i="5"/>
  <c r="P68" i="5"/>
  <c r="P69" i="5"/>
  <c r="P70" i="5"/>
  <c r="P71" i="5"/>
  <c r="P3" i="5"/>
  <c r="M4" i="5"/>
  <c r="M5" i="5"/>
  <c r="M7" i="5"/>
  <c r="M8" i="5"/>
  <c r="M9" i="5"/>
  <c r="M13" i="5"/>
  <c r="M14" i="5"/>
  <c r="M15" i="5"/>
  <c r="M16" i="5"/>
  <c r="M17" i="5"/>
  <c r="M18" i="5"/>
  <c r="M20" i="5"/>
  <c r="M21" i="5"/>
  <c r="M22" i="5"/>
  <c r="M23" i="5"/>
  <c r="M24" i="5"/>
  <c r="M27" i="5"/>
  <c r="M28" i="5"/>
  <c r="M30" i="5"/>
  <c r="M33" i="5"/>
  <c r="M34" i="5"/>
  <c r="M35" i="5"/>
  <c r="M37" i="5"/>
  <c r="M41" i="5"/>
  <c r="M45" i="5"/>
  <c r="M46" i="5"/>
  <c r="M47" i="5"/>
  <c r="M49" i="5"/>
  <c r="M50" i="5"/>
  <c r="M53" i="5"/>
  <c r="M54" i="5"/>
  <c r="M55" i="5"/>
  <c r="M56" i="5"/>
  <c r="M59" i="5"/>
  <c r="M62" i="5"/>
  <c r="M63" i="5"/>
  <c r="M66" i="5"/>
  <c r="M67" i="5"/>
  <c r="M68" i="5"/>
  <c r="M69" i="5"/>
  <c r="M70" i="5"/>
  <c r="M71" i="5"/>
  <c r="M3" i="5"/>
  <c r="J4" i="5"/>
  <c r="J5" i="5"/>
  <c r="J7" i="5"/>
  <c r="J8" i="5"/>
  <c r="J9" i="5"/>
  <c r="J13" i="5"/>
  <c r="J14" i="5"/>
  <c r="J15" i="5"/>
  <c r="J16" i="5"/>
  <c r="J17" i="5"/>
  <c r="J18" i="5"/>
  <c r="J20" i="5"/>
  <c r="J21" i="5"/>
  <c r="J22" i="5"/>
  <c r="J23" i="5"/>
  <c r="J24" i="5"/>
  <c r="J27" i="5"/>
  <c r="J28" i="5"/>
  <c r="J30" i="5"/>
  <c r="J33" i="5"/>
  <c r="J34" i="5"/>
  <c r="J35" i="5"/>
  <c r="J37" i="5"/>
  <c r="J41" i="5"/>
  <c r="J45" i="5"/>
  <c r="J46" i="5"/>
  <c r="J47" i="5"/>
  <c r="J49" i="5"/>
  <c r="J50" i="5"/>
  <c r="J53" i="5"/>
  <c r="J54" i="5"/>
  <c r="J55" i="5"/>
  <c r="J56" i="5"/>
  <c r="J59" i="5"/>
  <c r="J62" i="5"/>
  <c r="J63" i="5"/>
  <c r="J66" i="5"/>
  <c r="J67" i="5"/>
  <c r="J68" i="5"/>
  <c r="J69" i="5"/>
  <c r="J70" i="5"/>
  <c r="J71" i="5"/>
  <c r="J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3" i="5"/>
  <c r="W3" i="5"/>
  <c r="S4" i="6"/>
  <c r="S5" i="6"/>
  <c r="S7" i="6"/>
  <c r="S9" i="6"/>
  <c r="S10" i="6"/>
  <c r="S13" i="6"/>
  <c r="S14" i="6"/>
  <c r="S15" i="6"/>
  <c r="S16" i="6"/>
  <c r="S17" i="6"/>
  <c r="S18" i="6"/>
  <c r="S19" i="6"/>
  <c r="S20" i="6"/>
  <c r="S21" i="6"/>
  <c r="S22" i="6"/>
  <c r="S3" i="6"/>
  <c r="P4" i="6"/>
  <c r="P5" i="6"/>
  <c r="P7" i="6"/>
  <c r="P9" i="6"/>
  <c r="P10" i="6"/>
  <c r="P13" i="6"/>
  <c r="P14" i="6"/>
  <c r="P15" i="6"/>
  <c r="P16" i="6"/>
  <c r="P17" i="6"/>
  <c r="P18" i="6"/>
  <c r="P19" i="6"/>
  <c r="P20" i="6"/>
  <c r="P21" i="6"/>
  <c r="P22" i="6"/>
  <c r="P3" i="6"/>
  <c r="M4" i="6"/>
  <c r="M5" i="6"/>
  <c r="M7" i="6"/>
  <c r="M9" i="6"/>
  <c r="M10" i="6"/>
  <c r="M13" i="6"/>
  <c r="M14" i="6"/>
  <c r="M15" i="6"/>
  <c r="M16" i="6"/>
  <c r="M17" i="6"/>
  <c r="M18" i="6"/>
  <c r="M19" i="6"/>
  <c r="M20" i="6"/>
  <c r="M21" i="6"/>
  <c r="M22" i="6"/>
  <c r="M3" i="6"/>
  <c r="J4" i="6"/>
  <c r="J5" i="6"/>
  <c r="J7" i="6"/>
  <c r="J9" i="6"/>
  <c r="J10" i="6"/>
  <c r="J13" i="6"/>
  <c r="J14" i="6"/>
  <c r="J15" i="6"/>
  <c r="J16" i="6"/>
  <c r="J17" i="6"/>
  <c r="J18" i="6"/>
  <c r="J19" i="6"/>
  <c r="J20" i="6"/>
  <c r="J21" i="6"/>
  <c r="J22" i="6"/>
  <c r="J3" i="6"/>
  <c r="V4" i="6"/>
  <c r="V5" i="6"/>
  <c r="V7" i="6"/>
  <c r="V9" i="6"/>
  <c r="V10" i="6"/>
  <c r="V13" i="6"/>
  <c r="V14" i="6"/>
  <c r="V15" i="6"/>
  <c r="V16" i="6"/>
  <c r="V17" i="6"/>
  <c r="V18" i="6"/>
  <c r="V19" i="6"/>
  <c r="V20" i="6"/>
  <c r="V21" i="6"/>
  <c r="V22" i="6"/>
  <c r="V3" i="6"/>
  <c r="Z5" i="6"/>
  <c r="Z7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4" i="6"/>
  <c r="Z3" i="6"/>
  <c r="W4" i="6"/>
  <c r="K4" i="6"/>
  <c r="W5" i="6"/>
  <c r="W7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3" i="6"/>
  <c r="T4" i="6"/>
  <c r="T5" i="6"/>
  <c r="T7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3" i="6"/>
  <c r="Q3" i="6"/>
  <c r="N4" i="6"/>
  <c r="N5" i="6"/>
  <c r="N7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3" i="6"/>
  <c r="K7" i="6"/>
  <c r="K5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W4" i="5"/>
  <c r="J8" i="2"/>
  <c r="I8" i="2"/>
  <c r="J6" i="2"/>
  <c r="I6" i="2"/>
  <c r="E77" i="1"/>
  <c r="G28" i="1"/>
  <c r="F28" i="1"/>
  <c r="AC9" i="7"/>
  <c r="AB9" i="7"/>
  <c r="AA9" i="7"/>
  <c r="Z9" i="7"/>
  <c r="Y9" i="7"/>
  <c r="AC4" i="7"/>
  <c r="AB4" i="7"/>
  <c r="AA4" i="7"/>
  <c r="Y5" i="7"/>
  <c r="Z37" i="7"/>
  <c r="Z36" i="7"/>
  <c r="Z10" i="7"/>
  <c r="AA36" i="7"/>
  <c r="AA10" i="7"/>
  <c r="AB37" i="7"/>
  <c r="AB36" i="7"/>
  <c r="AB10" i="7"/>
  <c r="AC37" i="7"/>
  <c r="AC36" i="7"/>
  <c r="AC10" i="7"/>
  <c r="Y37" i="7"/>
  <c r="Y36" i="7"/>
  <c r="Y10" i="7"/>
  <c r="Z5" i="7"/>
  <c r="AA5" i="7"/>
  <c r="AB5" i="7"/>
  <c r="AC5" i="7"/>
  <c r="Z14" i="7"/>
  <c r="AA14" i="7"/>
  <c r="AB14" i="7"/>
  <c r="AC14" i="7"/>
  <c r="Y14" i="7"/>
  <c r="Z15" i="7"/>
  <c r="AA15" i="7"/>
  <c r="AB15" i="7"/>
  <c r="AC15" i="7"/>
  <c r="Y15" i="7"/>
  <c r="P50" i="7"/>
  <c r="Q50" i="7"/>
  <c r="R50" i="7"/>
  <c r="S50" i="7"/>
  <c r="O50" i="7"/>
  <c r="O41" i="7"/>
  <c r="P41" i="7"/>
  <c r="Q41" i="7"/>
  <c r="R41" i="7"/>
  <c r="S41" i="7"/>
  <c r="P36" i="7"/>
  <c r="Q36" i="7"/>
  <c r="R36" i="7"/>
  <c r="S36" i="7"/>
  <c r="O36" i="7"/>
  <c r="AC32" i="7"/>
  <c r="AC31" i="7"/>
  <c r="AB31" i="7"/>
  <c r="Z32" i="7"/>
  <c r="AA32" i="7"/>
  <c r="Y32" i="7"/>
  <c r="Z31" i="7"/>
  <c r="AA31" i="7"/>
  <c r="Y31" i="7"/>
  <c r="O25" i="7"/>
  <c r="P30" i="7"/>
  <c r="Q30" i="7"/>
  <c r="R30" i="7"/>
  <c r="S30" i="7"/>
  <c r="O30" i="7"/>
  <c r="O20" i="7"/>
  <c r="P29" i="7"/>
  <c r="Q29" i="7"/>
  <c r="R29" i="7"/>
  <c r="S29" i="7"/>
  <c r="O29" i="7"/>
  <c r="P25" i="7"/>
  <c r="Q25" i="7"/>
  <c r="R25" i="7"/>
  <c r="S25" i="7"/>
  <c r="P24" i="7"/>
  <c r="Q24" i="7"/>
  <c r="R24" i="7"/>
  <c r="S24" i="7"/>
  <c r="O24" i="7"/>
  <c r="O9" i="7"/>
  <c r="P20" i="7"/>
  <c r="Q20" i="7"/>
  <c r="R20" i="7"/>
  <c r="S20" i="7"/>
  <c r="P19" i="7"/>
  <c r="Q19" i="7"/>
  <c r="R19" i="7"/>
  <c r="S19" i="7"/>
  <c r="O19" i="7"/>
  <c r="P15" i="7"/>
  <c r="Q15" i="7"/>
  <c r="R15" i="7"/>
  <c r="S15" i="7"/>
  <c r="O15" i="7"/>
  <c r="O5" i="7"/>
  <c r="Z27" i="7"/>
  <c r="AA27" i="7"/>
  <c r="AB27" i="7"/>
  <c r="AC27" i="7"/>
  <c r="Y27" i="7"/>
  <c r="Z26" i="7"/>
  <c r="AA26" i="7"/>
  <c r="AB26" i="7"/>
  <c r="AC26" i="7"/>
  <c r="Y26" i="7"/>
  <c r="Z21" i="7"/>
  <c r="AA21" i="7"/>
  <c r="AB21" i="7"/>
  <c r="AC21" i="7"/>
  <c r="Y21" i="7"/>
  <c r="Z20" i="7"/>
  <c r="AA20" i="7"/>
  <c r="AB20" i="7"/>
  <c r="AC20" i="7"/>
  <c r="Y20" i="7"/>
  <c r="P10" i="7"/>
  <c r="Q10" i="7"/>
  <c r="R10" i="7"/>
  <c r="S10" i="7"/>
  <c r="O10" i="7"/>
  <c r="P9" i="7"/>
  <c r="Q9" i="7"/>
  <c r="R9" i="7"/>
  <c r="S9" i="7"/>
  <c r="P5" i="7"/>
  <c r="Q5" i="7"/>
  <c r="R5" i="7"/>
  <c r="S5" i="7"/>
  <c r="P4" i="7"/>
  <c r="Q4" i="7"/>
  <c r="R4" i="7"/>
  <c r="S4" i="7"/>
  <c r="O4" i="7"/>
  <c r="F87" i="7"/>
  <c r="G87" i="7"/>
  <c r="H87" i="7"/>
  <c r="I87" i="7"/>
  <c r="E87" i="7"/>
  <c r="E68" i="7"/>
  <c r="F86" i="7"/>
  <c r="G86" i="7"/>
  <c r="H86" i="7"/>
  <c r="I86" i="7"/>
  <c r="E86" i="7"/>
  <c r="F8" i="2"/>
  <c r="G8" i="2"/>
  <c r="H8" i="2"/>
  <c r="E8" i="2"/>
  <c r="F81" i="7"/>
  <c r="G81" i="7"/>
  <c r="H81" i="7"/>
  <c r="I81" i="7"/>
  <c r="E81" i="7"/>
  <c r="F80" i="7"/>
  <c r="G80" i="7"/>
  <c r="H80" i="7"/>
  <c r="I80" i="7"/>
  <c r="E80" i="7"/>
  <c r="F75" i="7"/>
  <c r="G75" i="7"/>
  <c r="H75" i="7"/>
  <c r="I75" i="7"/>
  <c r="E75" i="7"/>
  <c r="I74" i="7"/>
  <c r="F74" i="7"/>
  <c r="G74" i="7"/>
  <c r="H74" i="7"/>
  <c r="E74" i="7"/>
  <c r="E55" i="7"/>
  <c r="F68" i="7"/>
  <c r="G68" i="7"/>
  <c r="H68" i="7"/>
  <c r="J8" i="6"/>
  <c r="H8" i="6"/>
  <c r="P26" i="5"/>
  <c r="G26" i="5"/>
  <c r="S75" i="5"/>
  <c r="G75" i="5"/>
  <c r="Z6" i="6"/>
  <c r="G6" i="6"/>
  <c r="Z8" i="6"/>
  <c r="G8" i="6"/>
  <c r="N70" i="7"/>
  <c r="N13" i="7"/>
  <c r="N45" i="7"/>
  <c r="N31" i="7"/>
  <c r="N51" i="7"/>
  <c r="N49" i="7"/>
  <c r="N46" i="7"/>
  <c r="N32" i="7"/>
  <c r="T39" i="7"/>
  <c r="AD25" i="7"/>
  <c r="AD22" i="7"/>
  <c r="J73" i="7"/>
  <c r="T66" i="7"/>
  <c r="J3" i="7"/>
  <c r="K8" i="6"/>
  <c r="Z75" i="5"/>
  <c r="Z26" i="5"/>
  <c r="J75" i="5"/>
  <c r="P75" i="5"/>
  <c r="J26" i="5"/>
  <c r="M26" i="5"/>
  <c r="S26" i="5"/>
  <c r="M75" i="5"/>
  <c r="S3" i="7"/>
  <c r="AD30" i="7"/>
  <c r="T51" i="7"/>
  <c r="T49" i="7"/>
  <c r="AD19" i="7"/>
  <c r="T14" i="7"/>
  <c r="T13" i="7"/>
  <c r="T24" i="7"/>
  <c r="T18" i="7"/>
  <c r="J79" i="7"/>
  <c r="T67" i="7"/>
  <c r="T3" i="7"/>
  <c r="J16" i="7"/>
  <c r="T8" i="7"/>
  <c r="I79" i="7"/>
  <c r="J10" i="7"/>
  <c r="J66" i="7"/>
  <c r="T62" i="7"/>
  <c r="J86" i="7"/>
  <c r="J85" i="7"/>
  <c r="T72" i="7"/>
  <c r="J46" i="7"/>
  <c r="J35" i="7"/>
  <c r="J54" i="7"/>
  <c r="T56" i="7"/>
  <c r="J60" i="7"/>
  <c r="T57" i="7"/>
  <c r="J40" i="7"/>
  <c r="J30" i="7"/>
  <c r="AB25" i="7"/>
  <c r="AB22" i="7"/>
  <c r="AB19" i="7"/>
  <c r="Y13" i="7"/>
  <c r="AA30" i="7"/>
  <c r="Q51" i="7"/>
  <c r="Y3" i="7"/>
  <c r="AC25" i="7"/>
  <c r="AC22" i="7"/>
  <c r="AC19" i="7"/>
  <c r="Z30" i="7"/>
  <c r="P51" i="7"/>
  <c r="AA13" i="7"/>
  <c r="AC13" i="7"/>
  <c r="Z13" i="7"/>
  <c r="AB13" i="7"/>
  <c r="AB30" i="7"/>
  <c r="R51" i="7"/>
  <c r="AC30" i="7"/>
  <c r="Z25" i="7"/>
  <c r="Z22" i="7"/>
  <c r="Z19" i="7"/>
  <c r="P14" i="7"/>
  <c r="Y30" i="7"/>
  <c r="AA25" i="7"/>
  <c r="AA22" i="7"/>
  <c r="AA19" i="7"/>
  <c r="Y25" i="7"/>
  <c r="Y22" i="7"/>
  <c r="Y19" i="7"/>
  <c r="N28" i="7"/>
  <c r="N44" i="7"/>
  <c r="T65" i="7"/>
  <c r="T71" i="7"/>
  <c r="T70" i="7"/>
  <c r="T32" i="7"/>
  <c r="T46" i="7"/>
  <c r="T31" i="7"/>
  <c r="T45" i="7"/>
  <c r="T29" i="7"/>
  <c r="T23" i="7"/>
  <c r="T55" i="7"/>
  <c r="T61" i="7"/>
  <c r="T60" i="7"/>
  <c r="S51" i="7"/>
  <c r="S32" i="7"/>
  <c r="T44" i="7"/>
  <c r="Q32" i="7"/>
  <c r="Q46" i="7"/>
  <c r="R32" i="7"/>
  <c r="P46" i="7"/>
  <c r="R46" i="7"/>
  <c r="P32" i="7"/>
  <c r="S46" i="7"/>
  <c r="P31" i="7"/>
  <c r="P45" i="7"/>
  <c r="Q31" i="7"/>
  <c r="Q14" i="7"/>
  <c r="Q45" i="7"/>
  <c r="R45" i="7"/>
  <c r="R31" i="7"/>
  <c r="R14" i="7"/>
  <c r="S45" i="7"/>
  <c r="S14" i="7"/>
  <c r="S31" i="7"/>
  <c r="O51" i="7"/>
  <c r="O32" i="7"/>
  <c r="O46" i="7"/>
  <c r="O14" i="7"/>
  <c r="O45" i="7"/>
  <c r="O31" i="7"/>
  <c r="T28" i="7"/>
  <c r="F66" i="7"/>
  <c r="P62" i="7"/>
  <c r="G66" i="7"/>
  <c r="Q62" i="7"/>
  <c r="F55" i="7"/>
  <c r="G55" i="7"/>
  <c r="H55" i="7"/>
  <c r="I55" i="7"/>
  <c r="F49" i="7"/>
  <c r="G49" i="7"/>
  <c r="H49" i="7"/>
  <c r="I49" i="7"/>
  <c r="E49" i="7"/>
  <c r="F48" i="7"/>
  <c r="G48" i="7"/>
  <c r="H48" i="7"/>
  <c r="I48" i="7"/>
  <c r="E48" i="7"/>
  <c r="F47" i="7"/>
  <c r="G47" i="7"/>
  <c r="H47" i="7"/>
  <c r="I47" i="7"/>
  <c r="E47" i="7"/>
  <c r="F32" i="7"/>
  <c r="G32" i="7"/>
  <c r="H32" i="7"/>
  <c r="I32" i="7"/>
  <c r="E32" i="7"/>
  <c r="E30" i="7"/>
  <c r="G31" i="7"/>
  <c r="H31" i="7"/>
  <c r="I31" i="7"/>
  <c r="E24" i="7"/>
  <c r="F20" i="7"/>
  <c r="G20" i="7"/>
  <c r="H20" i="7"/>
  <c r="I20" i="7"/>
  <c r="E20" i="7"/>
  <c r="E17" i="7"/>
  <c r="F17" i="7"/>
  <c r="G17" i="7"/>
  <c r="H17" i="7"/>
  <c r="I17" i="7"/>
  <c r="I3" i="7"/>
  <c r="Z8" i="7"/>
  <c r="Y8" i="7"/>
  <c r="Z3" i="7"/>
  <c r="P49" i="7"/>
  <c r="O49" i="7"/>
  <c r="P44" i="7"/>
  <c r="O44" i="7"/>
  <c r="P35" i="7"/>
  <c r="P40" i="7"/>
  <c r="P39" i="7"/>
  <c r="O35" i="7"/>
  <c r="O40" i="7"/>
  <c r="O39" i="7"/>
  <c r="P28" i="7"/>
  <c r="O28" i="7"/>
  <c r="P23" i="7"/>
  <c r="O23" i="7"/>
  <c r="P18" i="7"/>
  <c r="O18" i="7"/>
  <c r="P13" i="7"/>
  <c r="O13" i="7"/>
  <c r="P8" i="7"/>
  <c r="O8" i="7"/>
  <c r="P3" i="7"/>
  <c r="O3" i="7"/>
  <c r="F85" i="7"/>
  <c r="P72" i="7"/>
  <c r="E85" i="7"/>
  <c r="O72" i="7"/>
  <c r="F79" i="7"/>
  <c r="P67" i="7"/>
  <c r="E79" i="7"/>
  <c r="O67" i="7"/>
  <c r="F73" i="7"/>
  <c r="P66" i="7"/>
  <c r="E73" i="7"/>
  <c r="O66" i="7"/>
  <c r="E60" i="7"/>
  <c r="O57" i="7"/>
  <c r="E54" i="7"/>
  <c r="O56" i="7"/>
  <c r="AC8" i="7"/>
  <c r="AB8" i="7"/>
  <c r="AA8" i="7"/>
  <c r="AB3" i="7"/>
  <c r="AC3" i="7"/>
  <c r="AA3" i="7"/>
  <c r="S35" i="7"/>
  <c r="S40" i="7"/>
  <c r="R35" i="7"/>
  <c r="R40" i="7"/>
  <c r="Q35" i="7"/>
  <c r="Q40" i="7"/>
  <c r="R3" i="7"/>
  <c r="I10" i="7"/>
  <c r="I60" i="7"/>
  <c r="I40" i="7"/>
  <c r="I16" i="7"/>
  <c r="F60" i="7"/>
  <c r="P57" i="7"/>
  <c r="H30" i="7"/>
  <c r="F10" i="7"/>
  <c r="G46" i="7"/>
  <c r="F54" i="7"/>
  <c r="P56" i="7"/>
  <c r="P55" i="7"/>
  <c r="P61" i="7"/>
  <c r="P60" i="7"/>
  <c r="H60" i="7"/>
  <c r="R57" i="7"/>
  <c r="P65" i="7"/>
  <c r="P71" i="7"/>
  <c r="P70" i="7"/>
  <c r="O55" i="7"/>
  <c r="O61" i="7"/>
  <c r="O65" i="7"/>
  <c r="O71" i="7"/>
  <c r="O70" i="7"/>
  <c r="F35" i="7"/>
  <c r="F46" i="7"/>
  <c r="F40" i="7"/>
  <c r="H46" i="7"/>
  <c r="F30" i="7"/>
  <c r="F24" i="7"/>
  <c r="G35" i="7"/>
  <c r="E16" i="7"/>
  <c r="G10" i="7"/>
  <c r="F16" i="7"/>
  <c r="E35" i="7"/>
  <c r="E66" i="7"/>
  <c r="O62" i="7"/>
  <c r="I54" i="7"/>
  <c r="S56" i="7"/>
  <c r="E46" i="7"/>
  <c r="E40" i="7"/>
  <c r="E10" i="7"/>
  <c r="F3" i="7"/>
  <c r="E3" i="7"/>
  <c r="R23" i="7"/>
  <c r="I73" i="7"/>
  <c r="S66" i="7"/>
  <c r="H66" i="7"/>
  <c r="R62" i="7"/>
  <c r="S23" i="7"/>
  <c r="R39" i="7"/>
  <c r="Q3" i="7"/>
  <c r="R18" i="7"/>
  <c r="Q49" i="7"/>
  <c r="I85" i="7"/>
  <c r="S72" i="7"/>
  <c r="G24" i="7"/>
  <c r="Q8" i="7"/>
  <c r="Q18" i="7"/>
  <c r="H85" i="7"/>
  <c r="R72" i="7"/>
  <c r="G3" i="7"/>
  <c r="H3" i="7"/>
  <c r="G60" i="7"/>
  <c r="Q57" i="7"/>
  <c r="I66" i="7"/>
  <c r="S62" i="7"/>
  <c r="S8" i="7"/>
  <c r="G73" i="7"/>
  <c r="Q66" i="7"/>
  <c r="S67" i="7"/>
  <c r="G85" i="7"/>
  <c r="Q72" i="7"/>
  <c r="H24" i="7"/>
  <c r="I24" i="7"/>
  <c r="I30" i="7"/>
  <c r="S18" i="7"/>
  <c r="S39" i="7"/>
  <c r="G79" i="7"/>
  <c r="Q67" i="7"/>
  <c r="S49" i="7"/>
  <c r="G54" i="7"/>
  <c r="G30" i="7"/>
  <c r="H35" i="7"/>
  <c r="I35" i="7"/>
  <c r="I46" i="7"/>
  <c r="H54" i="7"/>
  <c r="S57" i="7"/>
  <c r="S13" i="7"/>
  <c r="H10" i="7"/>
  <c r="G16" i="7"/>
  <c r="H16" i="7"/>
  <c r="G40" i="7"/>
  <c r="H40" i="7"/>
  <c r="Q39" i="7"/>
  <c r="H79" i="7"/>
  <c r="R67" i="7"/>
  <c r="R8" i="7"/>
  <c r="Q23" i="7"/>
  <c r="H73" i="7"/>
  <c r="R66" i="7"/>
  <c r="Q28" i="7"/>
  <c r="Q13" i="7"/>
  <c r="R49" i="7"/>
  <c r="O60" i="7"/>
  <c r="Q65" i="7"/>
  <c r="Q71" i="7"/>
  <c r="Q70" i="7"/>
  <c r="S55" i="7"/>
  <c r="S61" i="7"/>
  <c r="S60" i="7"/>
  <c r="S65" i="7"/>
  <c r="S71" i="7"/>
  <c r="S70" i="7"/>
  <c r="R65" i="7"/>
  <c r="R71" i="7"/>
  <c r="R70" i="7"/>
  <c r="Q56" i="7"/>
  <c r="Q55" i="7"/>
  <c r="R56" i="7"/>
  <c r="R55" i="7"/>
  <c r="R61" i="7"/>
  <c r="R60" i="7"/>
  <c r="Q44" i="7"/>
  <c r="S28" i="7"/>
  <c r="S44" i="7"/>
  <c r="R28" i="7"/>
  <c r="R13" i="7"/>
  <c r="R44" i="7"/>
  <c r="Q61" i="7"/>
  <c r="Q60" i="7"/>
  <c r="K75" i="5"/>
  <c r="V34" i="5"/>
  <c r="G77" i="1"/>
  <c r="H77" i="1"/>
  <c r="H28" i="1"/>
  <c r="V75" i="5"/>
  <c r="W74" i="5"/>
  <c r="P8" i="6"/>
  <c r="M8" i="6"/>
  <c r="P6" i="6"/>
  <c r="M6" i="6"/>
  <c r="F6" i="2"/>
  <c r="G6" i="2"/>
  <c r="H6" i="2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7" i="6"/>
  <c r="Q5" i="6"/>
  <c r="Q4" i="6"/>
  <c r="T75" i="5"/>
  <c r="Q75" i="5"/>
  <c r="N75" i="5"/>
  <c r="T74" i="5"/>
  <c r="Q74" i="5"/>
  <c r="N74" i="5"/>
  <c r="K74" i="5"/>
  <c r="W73" i="5"/>
  <c r="T73" i="5"/>
  <c r="Q73" i="5"/>
  <c r="N73" i="5"/>
  <c r="K73" i="5"/>
  <c r="W72" i="5"/>
  <c r="T72" i="5"/>
  <c r="Q72" i="5"/>
  <c r="N72" i="5"/>
  <c r="K72" i="5"/>
  <c r="W71" i="5"/>
  <c r="T71" i="5"/>
  <c r="Q71" i="5"/>
  <c r="N71" i="5"/>
  <c r="K71" i="5"/>
  <c r="W70" i="5"/>
  <c r="T70" i="5"/>
  <c r="Q70" i="5"/>
  <c r="N70" i="5"/>
  <c r="K70" i="5"/>
  <c r="W69" i="5"/>
  <c r="T69" i="5"/>
  <c r="Q69" i="5"/>
  <c r="N69" i="5"/>
  <c r="K69" i="5"/>
  <c r="W68" i="5"/>
  <c r="T68" i="5"/>
  <c r="Q68" i="5"/>
  <c r="N68" i="5"/>
  <c r="K68" i="5"/>
  <c r="W67" i="5"/>
  <c r="T67" i="5"/>
  <c r="Q67" i="5"/>
  <c r="N67" i="5"/>
  <c r="K67" i="5"/>
  <c r="W66" i="5"/>
  <c r="T66" i="5"/>
  <c r="Q66" i="5"/>
  <c r="N66" i="5"/>
  <c r="K66" i="5"/>
  <c r="W65" i="5"/>
  <c r="T65" i="5"/>
  <c r="Q65" i="5"/>
  <c r="N65" i="5"/>
  <c r="K65" i="5"/>
  <c r="W64" i="5"/>
  <c r="T64" i="5"/>
  <c r="Q64" i="5"/>
  <c r="N64" i="5"/>
  <c r="K64" i="5"/>
  <c r="W63" i="5"/>
  <c r="T63" i="5"/>
  <c r="Q63" i="5"/>
  <c r="N63" i="5"/>
  <c r="K63" i="5"/>
  <c r="W62" i="5"/>
  <c r="T62" i="5"/>
  <c r="Q62" i="5"/>
  <c r="N62" i="5"/>
  <c r="K62" i="5"/>
  <c r="W61" i="5"/>
  <c r="T61" i="5"/>
  <c r="Q61" i="5"/>
  <c r="N61" i="5"/>
  <c r="K61" i="5"/>
  <c r="W60" i="5"/>
  <c r="T60" i="5"/>
  <c r="Q60" i="5"/>
  <c r="N60" i="5"/>
  <c r="K60" i="5"/>
  <c r="W59" i="5"/>
  <c r="T59" i="5"/>
  <c r="Q59" i="5"/>
  <c r="N59" i="5"/>
  <c r="K59" i="5"/>
  <c r="W58" i="5"/>
  <c r="T58" i="5"/>
  <c r="Q58" i="5"/>
  <c r="N58" i="5"/>
  <c r="K58" i="5"/>
  <c r="W57" i="5"/>
  <c r="T57" i="5"/>
  <c r="Q57" i="5"/>
  <c r="N57" i="5"/>
  <c r="K57" i="5"/>
  <c r="W56" i="5"/>
  <c r="T56" i="5"/>
  <c r="Q56" i="5"/>
  <c r="N56" i="5"/>
  <c r="K56" i="5"/>
  <c r="W55" i="5"/>
  <c r="T55" i="5"/>
  <c r="Q55" i="5"/>
  <c r="N55" i="5"/>
  <c r="K55" i="5"/>
  <c r="W54" i="5"/>
  <c r="T54" i="5"/>
  <c r="Q54" i="5"/>
  <c r="N54" i="5"/>
  <c r="K54" i="5"/>
  <c r="W53" i="5"/>
  <c r="T53" i="5"/>
  <c r="Q53" i="5"/>
  <c r="N53" i="5"/>
  <c r="K53" i="5"/>
  <c r="W52" i="5"/>
  <c r="T52" i="5"/>
  <c r="Q52" i="5"/>
  <c r="N52" i="5"/>
  <c r="K52" i="5"/>
  <c r="W51" i="5"/>
  <c r="T51" i="5"/>
  <c r="Q51" i="5"/>
  <c r="N51" i="5"/>
  <c r="K51" i="5"/>
  <c r="W50" i="5"/>
  <c r="T50" i="5"/>
  <c r="Q50" i="5"/>
  <c r="N50" i="5"/>
  <c r="K50" i="5"/>
  <c r="W49" i="5"/>
  <c r="T49" i="5"/>
  <c r="Q49" i="5"/>
  <c r="N49" i="5"/>
  <c r="K49" i="5"/>
  <c r="W48" i="5"/>
  <c r="T48" i="5"/>
  <c r="Q48" i="5"/>
  <c r="N48" i="5"/>
  <c r="K48" i="5"/>
  <c r="W47" i="5"/>
  <c r="T47" i="5"/>
  <c r="Q47" i="5"/>
  <c r="N47" i="5"/>
  <c r="K47" i="5"/>
  <c r="W46" i="5"/>
  <c r="T46" i="5"/>
  <c r="Q46" i="5"/>
  <c r="N46" i="5"/>
  <c r="K46" i="5"/>
  <c r="W45" i="5"/>
  <c r="T45" i="5"/>
  <c r="Q45" i="5"/>
  <c r="N45" i="5"/>
  <c r="K45" i="5"/>
  <c r="W44" i="5"/>
  <c r="T44" i="5"/>
  <c r="Q44" i="5"/>
  <c r="N44" i="5"/>
  <c r="K44" i="5"/>
  <c r="W43" i="5"/>
  <c r="T43" i="5"/>
  <c r="Q43" i="5"/>
  <c r="N43" i="5"/>
  <c r="K43" i="5"/>
  <c r="W42" i="5"/>
  <c r="T42" i="5"/>
  <c r="Q42" i="5"/>
  <c r="N42" i="5"/>
  <c r="K42" i="5"/>
  <c r="W41" i="5"/>
  <c r="T41" i="5"/>
  <c r="Q41" i="5"/>
  <c r="N41" i="5"/>
  <c r="K41" i="5"/>
  <c r="W40" i="5"/>
  <c r="K40" i="5"/>
  <c r="W39" i="5"/>
  <c r="K39" i="5"/>
  <c r="W38" i="5"/>
  <c r="K38" i="5"/>
  <c r="W37" i="5"/>
  <c r="T37" i="5"/>
  <c r="Q37" i="5"/>
  <c r="N37" i="5"/>
  <c r="K37" i="5"/>
  <c r="W36" i="5"/>
  <c r="T36" i="5"/>
  <c r="Q36" i="5"/>
  <c r="N36" i="5"/>
  <c r="K36" i="5"/>
  <c r="W35" i="5"/>
  <c r="T35" i="5"/>
  <c r="Q35" i="5"/>
  <c r="N35" i="5"/>
  <c r="K35" i="5"/>
  <c r="W34" i="5"/>
  <c r="T34" i="5"/>
  <c r="Q34" i="5"/>
  <c r="N34" i="5"/>
  <c r="K34" i="5"/>
  <c r="W33" i="5"/>
  <c r="T33" i="5"/>
  <c r="Q33" i="5"/>
  <c r="N33" i="5"/>
  <c r="K33" i="5"/>
  <c r="W32" i="5"/>
  <c r="T32" i="5"/>
  <c r="Q32" i="5"/>
  <c r="N32" i="5"/>
  <c r="K32" i="5"/>
  <c r="W31" i="5"/>
  <c r="T31" i="5"/>
  <c r="Q31" i="5"/>
  <c r="N31" i="5"/>
  <c r="K31" i="5"/>
  <c r="W30" i="5"/>
  <c r="T30" i="5"/>
  <c r="Q30" i="5"/>
  <c r="N30" i="5"/>
  <c r="K30" i="5"/>
  <c r="W29" i="5"/>
  <c r="T29" i="5"/>
  <c r="Q29" i="5"/>
  <c r="N29" i="5"/>
  <c r="K29" i="5"/>
  <c r="W28" i="5"/>
  <c r="T28" i="5"/>
  <c r="Q28" i="5"/>
  <c r="N28" i="5"/>
  <c r="K28" i="5"/>
  <c r="W27" i="5"/>
  <c r="T27" i="5"/>
  <c r="Q27" i="5"/>
  <c r="N27" i="5"/>
  <c r="K27" i="5"/>
  <c r="T26" i="5"/>
  <c r="Q26" i="5"/>
  <c r="N26" i="5"/>
  <c r="K26" i="5"/>
  <c r="W25" i="5"/>
  <c r="T25" i="5"/>
  <c r="Q25" i="5"/>
  <c r="N25" i="5"/>
  <c r="K25" i="5"/>
  <c r="W24" i="5"/>
  <c r="T24" i="5"/>
  <c r="Q24" i="5"/>
  <c r="N24" i="5"/>
  <c r="K24" i="5"/>
  <c r="W23" i="5"/>
  <c r="T23" i="5"/>
  <c r="Q23" i="5"/>
  <c r="N23" i="5"/>
  <c r="K23" i="5"/>
  <c r="W22" i="5"/>
  <c r="T22" i="5"/>
  <c r="Q22" i="5"/>
  <c r="N22" i="5"/>
  <c r="K22" i="5"/>
  <c r="W21" i="5"/>
  <c r="T21" i="5"/>
  <c r="Q21" i="5"/>
  <c r="N21" i="5"/>
  <c r="K21" i="5"/>
  <c r="W20" i="5"/>
  <c r="T20" i="5"/>
  <c r="Q20" i="5"/>
  <c r="N20" i="5"/>
  <c r="K20" i="5"/>
  <c r="W19" i="5"/>
  <c r="T19" i="5"/>
  <c r="Q19" i="5"/>
  <c r="N19" i="5"/>
  <c r="K19" i="5"/>
  <c r="W18" i="5"/>
  <c r="T18" i="5"/>
  <c r="Q18" i="5"/>
  <c r="N18" i="5"/>
  <c r="K18" i="5"/>
  <c r="W17" i="5"/>
  <c r="T17" i="5"/>
  <c r="Q17" i="5"/>
  <c r="N17" i="5"/>
  <c r="K17" i="5"/>
  <c r="W16" i="5"/>
  <c r="T16" i="5"/>
  <c r="Q16" i="5"/>
  <c r="N16" i="5"/>
  <c r="K16" i="5"/>
  <c r="W15" i="5"/>
  <c r="T15" i="5"/>
  <c r="Q15" i="5"/>
  <c r="N15" i="5"/>
  <c r="K15" i="5"/>
  <c r="W14" i="5"/>
  <c r="T14" i="5"/>
  <c r="Q14" i="5"/>
  <c r="N14" i="5"/>
  <c r="K14" i="5"/>
  <c r="W13" i="5"/>
  <c r="T13" i="5"/>
  <c r="Q13" i="5"/>
  <c r="N13" i="5"/>
  <c r="K13" i="5"/>
  <c r="W12" i="5"/>
  <c r="T12" i="5"/>
  <c r="Q12" i="5"/>
  <c r="N12" i="5"/>
  <c r="K12" i="5"/>
  <c r="W11" i="5"/>
  <c r="T11" i="5"/>
  <c r="Q11" i="5"/>
  <c r="N11" i="5"/>
  <c r="K11" i="5"/>
  <c r="W10" i="5"/>
  <c r="T10" i="5"/>
  <c r="Q10" i="5"/>
  <c r="N10" i="5"/>
  <c r="K10" i="5"/>
  <c r="W9" i="5"/>
  <c r="T9" i="5"/>
  <c r="Q9" i="5"/>
  <c r="N9" i="5"/>
  <c r="K9" i="5"/>
  <c r="W8" i="5"/>
  <c r="T8" i="5"/>
  <c r="Q8" i="5"/>
  <c r="N8" i="5"/>
  <c r="K8" i="5"/>
  <c r="W7" i="5"/>
  <c r="T7" i="5"/>
  <c r="Q7" i="5"/>
  <c r="N7" i="5"/>
  <c r="W6" i="5"/>
  <c r="T6" i="5"/>
  <c r="Q6" i="5"/>
  <c r="N6" i="5"/>
  <c r="K6" i="5"/>
  <c r="W5" i="5"/>
  <c r="T5" i="5"/>
  <c r="Q5" i="5"/>
  <c r="N5" i="5"/>
  <c r="T4" i="5"/>
  <c r="Q4" i="5"/>
  <c r="N4" i="5"/>
  <c r="K4" i="5"/>
  <c r="T3" i="5"/>
  <c r="Q3" i="5"/>
  <c r="N3" i="5"/>
  <c r="J6" i="6"/>
  <c r="H6" i="6"/>
  <c r="S6" i="6"/>
  <c r="T6" i="6"/>
  <c r="S8" i="6"/>
  <c r="T8" i="6"/>
  <c r="W8" i="6"/>
  <c r="V8" i="6"/>
  <c r="W6" i="6"/>
  <c r="V6" i="6"/>
  <c r="W75" i="5"/>
  <c r="W26" i="5"/>
  <c r="V26" i="5"/>
  <c r="W9" i="7"/>
  <c r="W8" i="7"/>
  <c r="W3" i="7"/>
  <c r="C85" i="7"/>
  <c r="M72" i="7"/>
  <c r="M7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tc={8D53CC1E-7839-4861-9CBF-A0D969346B9A}</author>
  </authors>
  <commentList>
    <comment ref="AF6" authorId="0" shapeId="0" xr:uid="{8D53CC1E-7839-4861-9CBF-A0D969346B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Retirei os dados do site investsite !</t>
      </text>
    </comment>
  </commentList>
</comments>
</file>

<file path=xl/sharedStrings.xml><?xml version="1.0" encoding="utf-8"?>
<sst xmlns="http://schemas.openxmlformats.org/spreadsheetml/2006/main" count="1070" uniqueCount="391">
  <si>
    <t>($ em milhões)</t>
  </si>
  <si>
    <t>Código da Conta</t>
  </si>
  <si>
    <t>Descrição da Conta</t>
  </si>
  <si>
    <t>Ativo Total</t>
  </si>
  <si>
    <t>1.01</t>
  </si>
  <si>
    <t>Ativo Circulante</t>
  </si>
  <si>
    <t>1.01.01</t>
  </si>
  <si>
    <t>Caixa e Equivalentes de Caixa</t>
  </si>
  <si>
    <t>1.01.02</t>
  </si>
  <si>
    <t>Aplicações Financeiras</t>
  </si>
  <si>
    <t>1.01.03</t>
  </si>
  <si>
    <t>Contas a Receber</t>
  </si>
  <si>
    <t>1.01.04</t>
  </si>
  <si>
    <t>Estoques</t>
  </si>
  <si>
    <t>1.01.06</t>
  </si>
  <si>
    <t>Tributos a Recuperar</t>
  </si>
  <si>
    <t>1.01.06.01</t>
  </si>
  <si>
    <t>Tributos Correntes a Recuperar</t>
  </si>
  <si>
    <t>1.01.06.01.01</t>
  </si>
  <si>
    <t>1.01.06.01.02</t>
  </si>
  <si>
    <t>Imposto de Renda e Contribuição Social a Recuperar</t>
  </si>
  <si>
    <t>1.01.08</t>
  </si>
  <si>
    <t>Outros Ativos Cirulantes</t>
  </si>
  <si>
    <t>1.01.08.03</t>
  </si>
  <si>
    <t>Outros</t>
  </si>
  <si>
    <t>1.01.08.03.01</t>
  </si>
  <si>
    <t>Partes Relacionadas</t>
  </si>
  <si>
    <t>1.01.08.03.02</t>
  </si>
  <si>
    <t>Outros Créditos</t>
  </si>
  <si>
    <t>1.02</t>
  </si>
  <si>
    <t>Ativos Não Circulante</t>
  </si>
  <si>
    <t>1.02.01</t>
  </si>
  <si>
    <t>Ativo Realizável a Longo Prazo</t>
  </si>
  <si>
    <t>1.02.01.01</t>
  </si>
  <si>
    <t>Aplicações Financeiras Avaliadas a Valor Justo através do Resultado</t>
  </si>
  <si>
    <t>1.02.01.04</t>
  </si>
  <si>
    <t>1.02.01.07</t>
  </si>
  <si>
    <t>Tributos Diferidos</t>
  </si>
  <si>
    <t>1.02.01.10</t>
  </si>
  <si>
    <t>Outros Ativos Não Circulantes</t>
  </si>
  <si>
    <t>1.02.01.10.03</t>
  </si>
  <si>
    <t>1.02.01.10.04</t>
  </si>
  <si>
    <t>Outros Ativos</t>
  </si>
  <si>
    <t>1.02.01.10.05</t>
  </si>
  <si>
    <t>Depósitos Judiciais</t>
  </si>
  <si>
    <t>ATIVO FIXO</t>
  </si>
  <si>
    <t>1.02.02</t>
  </si>
  <si>
    <t>Investimentos</t>
  </si>
  <si>
    <t>1.02.02.01</t>
  </si>
  <si>
    <t xml:space="preserve">Participações Societárias </t>
  </si>
  <si>
    <t>1.02.02.01.01</t>
  </si>
  <si>
    <t>Participações em Coligadas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</si>
  <si>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</si>
  <si>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</si>
  <si>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</si>
  <si>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</si>
  <si>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</si>
  <si>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</si>
  <si>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1.02.04</t>
  </si>
  <si>
    <t>Intangível</t>
  </si>
  <si>
    <t>Passivo Total</t>
  </si>
  <si>
    <t>2.01</t>
  </si>
  <si>
    <t>Passivo Circulante</t>
  </si>
  <si>
    <t>2.01.01</t>
  </si>
  <si>
    <t>Obrigações Sociais e Trabalhistas</t>
  </si>
  <si>
    <t>2.01.02</t>
  </si>
  <si>
    <t xml:space="preserve">Fornecedores </t>
  </si>
  <si>
    <t>2.01.02.01</t>
  </si>
  <si>
    <t>Fornecedores Nacionais</t>
  </si>
  <si>
    <t>2.01.02.01.01</t>
  </si>
  <si>
    <t>Fornecedores</t>
  </si>
  <si>
    <t>2.01.02.01.02</t>
  </si>
  <si>
    <t>Fornecedores - Convênio</t>
  </si>
  <si>
    <t>2.01.03</t>
  </si>
  <si>
    <t>Obrigações Fiscais</t>
  </si>
  <si>
    <t>2.01.03.01</t>
  </si>
  <si>
    <t>Obrigações Fiscais Federais</t>
  </si>
  <si>
    <t>2.01.03.01.02</t>
  </si>
  <si>
    <t>Tributos a Recolher</t>
  </si>
  <si>
    <t>2.01.04</t>
  </si>
  <si>
    <t>Empréstimos e Financiamentos</t>
  </si>
  <si>
    <t>2.01.05</t>
  </si>
  <si>
    <t>Outras Obrigações</t>
  </si>
  <si>
    <t>2.01.05.01</t>
  </si>
  <si>
    <t>Passivos com Partes Relacionadas</t>
  </si>
  <si>
    <t>2.01.05.02</t>
  </si>
  <si>
    <t>2.01.05.02.01</t>
  </si>
  <si>
    <t>Dividendos e JCP a Pagar</t>
  </si>
  <si>
    <t>2.01.05.02.04</t>
  </si>
  <si>
    <t>Receitas Diferidas</t>
  </si>
  <si>
    <t>2.01.05.02.05</t>
  </si>
  <si>
    <t xml:space="preserve">Outras Contas a Pagar </t>
  </si>
  <si>
    <t>2.01.05.02.06</t>
  </si>
  <si>
    <t>Instrumento Financeiro Deritivos</t>
  </si>
  <si>
    <t>2.01.05.02.07</t>
  </si>
  <si>
    <t>Parceiros e outros depósitos</t>
  </si>
  <si>
    <t>2.02</t>
  </si>
  <si>
    <t>Passivo Não Circulante</t>
  </si>
  <si>
    <t>2.02.01</t>
  </si>
  <si>
    <t>2.02.02</t>
  </si>
  <si>
    <t>2.02.02.02</t>
  </si>
  <si>
    <t>2.02.02.02.03</t>
  </si>
  <si>
    <t>2.02.02.02.04</t>
  </si>
  <si>
    <t>Arrendamento Mercantil</t>
  </si>
  <si>
    <t>2.02.02.02.05</t>
  </si>
  <si>
    <t>2.02.03</t>
  </si>
  <si>
    <t>2.02.03.01</t>
  </si>
  <si>
    <t xml:space="preserve">Imposto de Renda e Contribuição Social Diferidos </t>
  </si>
  <si>
    <t>2.02.04</t>
  </si>
  <si>
    <t>Provisões</t>
  </si>
  <si>
    <t>2.02.04.01</t>
  </si>
  <si>
    <t>Provisões Fiscais Previdenciárias Trabalhistas e Cíveis</t>
  </si>
  <si>
    <t>2.02.06</t>
  </si>
  <si>
    <t>Lucros e Receitas a Apropriar</t>
  </si>
  <si>
    <t>2.02.06.02</t>
  </si>
  <si>
    <t>Receitas a Apropriar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</si>
  <si>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</si>
  <si>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</si>
  <si>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</si>
  <si>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</si>
  <si>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</si>
  <si>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</si>
  <si>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2.03.02.05</t>
  </si>
  <si>
    <t>Ações em Tesouraria</t>
  </si>
  <si>
    <t>2.03.02.07</t>
  </si>
  <si>
    <t>Reserva de Capital</t>
  </si>
  <si>
    <t>2.03.04</t>
  </si>
  <si>
    <t>Reservas de Lucros</t>
  </si>
  <si>
    <t>2.03.04.01</t>
  </si>
  <si>
    <t>Reserva Legal</t>
  </si>
  <si>
    <t>2.03.04.05</t>
  </si>
  <si>
    <t>Reserva de Retenção de Lucros</t>
  </si>
  <si>
    <t>2.03.08</t>
  </si>
  <si>
    <t>Outros Resultados Abrangentes</t>
  </si>
  <si>
    <t>TOTAL DO PASSIVO E PATRIMÔNIO LÍQUIDO</t>
  </si>
  <si>
    <t>.</t>
  </si>
  <si>
    <t>Demonstração do Resultado do Exercício - Análise Horizontal (ANO BASE 2017)</t>
  </si>
  <si>
    <t xml:space="preserve">Código da Conta </t>
  </si>
  <si>
    <t>3.01</t>
  </si>
  <si>
    <t>Receita de Venda de Bens e/ou Serviços</t>
  </si>
  <si>
    <t>3.02</t>
  </si>
  <si>
    <t>Custo dos Bens e/ou Serviços Vendidos</t>
  </si>
  <si>
    <t>3.03</t>
  </si>
  <si>
    <t>Resultado Bruto</t>
  </si>
  <si>
    <t>Margem Bruta</t>
  </si>
  <si>
    <t>3.04</t>
  </si>
  <si>
    <t>Despesas/Receitas Operacionais</t>
  </si>
  <si>
    <t>%Receita Líquida</t>
  </si>
  <si>
    <t>3.04.01</t>
  </si>
  <si>
    <t>Despesas com Vendas</t>
  </si>
  <si>
    <t>3.04.02</t>
  </si>
  <si>
    <t>Despesas Gerais e Administrativas</t>
  </si>
  <si>
    <t>3.04.03</t>
  </si>
  <si>
    <t>Perdas pela Não Recuperabilidade de Ativos</t>
  </si>
  <si>
    <t>3.04.04</t>
  </si>
  <si>
    <t>Outras Receitas Operacionais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</si>
  <si>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</si>
  <si>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</si>
  <si>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</si>
  <si>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</si>
  <si>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</si>
  <si>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</si>
  <si>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</si>
  <si>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 xml:space="preserve">Receitas Financeiras </t>
  </si>
  <si>
    <t>3.06.02</t>
  </si>
  <si>
    <t>Despesas Financeiras</t>
  </si>
  <si>
    <t>3.07</t>
  </si>
  <si>
    <t>Resultado Antes dos Tributos sobre o Lucro</t>
  </si>
  <si>
    <t>3.08</t>
  </si>
  <si>
    <t>Imposto de Renda e Contribuição Social sobre o Lucro</t>
  </si>
  <si>
    <t>3.09</t>
  </si>
  <si>
    <t>Resultado Líquido das Operações Continuadas</t>
  </si>
  <si>
    <t>3.11</t>
  </si>
  <si>
    <t>Lucro/Prejuízo do Período</t>
  </si>
  <si>
    <t>3.11.01</t>
  </si>
  <si>
    <t>Atribuído a Sócios da Empresa Controladora</t>
  </si>
  <si>
    <t>3.99</t>
  </si>
  <si>
    <t>Lucro por Ação - (Reais / Ação)</t>
  </si>
  <si>
    <t>0.00000</t>
  </si>
  <si>
    <t>3.99.01</t>
  </si>
  <si>
    <t>Lucro Básico por Ação</t>
  </si>
  <si>
    <t>3.99.01.01</t>
  </si>
  <si>
    <t>ON</t>
  </si>
  <si>
    <t>3.99.02</t>
  </si>
  <si>
    <t>Lucro Diluído por Ação</t>
  </si>
  <si>
    <t>0.57450</t>
  </si>
  <si>
    <t>3.99.02.01</t>
  </si>
  <si>
    <t>0.57390</t>
  </si>
  <si>
    <t>Demonstração de Fluxo de Caixa (Método Indireto - Reais Mil) - Analise Vertical</t>
  </si>
  <si>
    <t>6.01</t>
  </si>
  <si>
    <t>Caixa Líquido Atividades Operacionais</t>
  </si>
  <si>
    <t>6.01.01</t>
  </si>
  <si>
    <t>Caixa Gerado nas Operações</t>
  </si>
  <si>
    <t>6.01.01.01</t>
  </si>
  <si>
    <t>Lucro Líquido do Período</t>
  </si>
  <si>
    <t>6.01.01.02</t>
  </si>
  <si>
    <t>Depreciação e Amortização</t>
  </si>
  <si>
    <t>6.01.01.03</t>
  </si>
  <si>
    <t>Equivalência Patrimonial</t>
  </si>
  <si>
    <t>6.01.01.04</t>
  </si>
  <si>
    <t>Ganho no Valor Justo e Ajuste a Valor Presente</t>
  </si>
  <si>
    <t>6.01.01.05</t>
  </si>
  <si>
    <t>Provisão (Reversão) para Riscos Tributários, Trabalhistas e Cíveis</t>
  </si>
  <si>
    <t>6.01.01.06</t>
  </si>
  <si>
    <t xml:space="preserve">Provisão para Créditos de Liquidação Duvidosa </t>
  </si>
  <si>
    <t>6.01.01.07</t>
  </si>
  <si>
    <t>Provisão (Reversão) para Perdas em Estoques</t>
  </si>
  <si>
    <t>6.01..01.08</t>
  </si>
  <si>
    <t>Provisão e Receitas Diferidas</t>
  </si>
  <si>
    <t>6.01.01.09</t>
  </si>
  <si>
    <t>Stock Options</t>
  </si>
  <si>
    <t>6.01.01.10</t>
  </si>
  <si>
    <t xml:space="preserve">Encargos Sobre Empréstimos e Contratos de Arrendamento </t>
  </si>
  <si>
    <t>6.01.01.11</t>
  </si>
  <si>
    <t xml:space="preserve">Variação Cambial </t>
  </si>
  <si>
    <t>6.01.01.12</t>
  </si>
  <si>
    <t>Juros Sobre Impostos e Atualização Monetária</t>
  </si>
  <si>
    <t>6.01.01.13</t>
  </si>
  <si>
    <t>Ganhos (Perdas) em Processos Administrativos e Judiciais</t>
  </si>
  <si>
    <t>6.01.01.14</t>
  </si>
  <si>
    <t>Imposto de Renda e Contribuição Social (Corrente e Diferido)</t>
  </si>
  <si>
    <t>6.01.01.15</t>
  </si>
  <si>
    <t>Ganho na Alienação de Imobilizados</t>
  </si>
  <si>
    <t>6.01.02</t>
  </si>
  <si>
    <t>Variações nos Ativos e Passivos</t>
  </si>
  <si>
    <t>6.01.02.01</t>
  </si>
  <si>
    <t xml:space="preserve">Contas a Receber </t>
  </si>
  <si>
    <t>6.01.02.02</t>
  </si>
  <si>
    <t>6.01.02.03</t>
  </si>
  <si>
    <t>Imposto a Recuperar</t>
  </si>
  <si>
    <t>6.01.02.04</t>
  </si>
  <si>
    <t>Adiantamentos Diversos</t>
  </si>
  <si>
    <t>6.01.02.05</t>
  </si>
  <si>
    <t>Contas a Receber de Partes Relacionadas</t>
  </si>
  <si>
    <t>6.01.02.06</t>
  </si>
  <si>
    <t>6.01.02.07</t>
  </si>
  <si>
    <t>6.01.02.08</t>
  </si>
  <si>
    <t>Obrigações Tributarias</t>
  </si>
  <si>
    <t>6.01.02.09</t>
  </si>
  <si>
    <t>6.01.02.10</t>
  </si>
  <si>
    <t>Contas a Pagar de Partes Relacionadas</t>
  </si>
  <si>
    <t>6.01.02.11</t>
  </si>
  <si>
    <t>Pagamento de Juros Sobre Empréstimos e Contratos de Arrendamento</t>
  </si>
  <si>
    <t>6.01.02.12</t>
  </si>
  <si>
    <t>Indenizações</t>
  </si>
  <si>
    <t>6.01.03</t>
  </si>
  <si>
    <t>6.02</t>
  </si>
  <si>
    <t>Caixa Líquido Atividades de Investimento</t>
  </si>
  <si>
    <t>6.02.01</t>
  </si>
  <si>
    <t>Recebimento de Dividendos</t>
  </si>
  <si>
    <t>6.02.02</t>
  </si>
  <si>
    <t>Integralização de Capital - Investida</t>
  </si>
  <si>
    <t>6.02.03</t>
  </si>
  <si>
    <t>Aquisição de Investimento</t>
  </si>
  <si>
    <t>6.02.04</t>
  </si>
  <si>
    <t xml:space="preserve">Aquisição de Imobilizado </t>
  </si>
  <si>
    <t>6.02.05</t>
  </si>
  <si>
    <t>Aumento do Intangível</t>
  </si>
  <si>
    <t>6.02.06</t>
  </si>
  <si>
    <t>Pagamento por aquisição de contolada</t>
  </si>
  <si>
    <t>6.02.07</t>
  </si>
  <si>
    <t>Mútuo e demais operações com investidas/partes relacionadas</t>
  </si>
  <si>
    <t>6.03</t>
  </si>
  <si>
    <t>Caixa Líquido Atividades de Financiamento</t>
  </si>
  <si>
    <t>6.03.01</t>
  </si>
  <si>
    <t>Aumento do Capital Social</t>
  </si>
  <si>
    <t>6.03.02</t>
  </si>
  <si>
    <t>Pagamento de Dividendo</t>
  </si>
  <si>
    <t>6.03.03</t>
  </si>
  <si>
    <t>Captação de Empréstimos</t>
  </si>
  <si>
    <t>6.03.04</t>
  </si>
  <si>
    <t>Amortização de Empréstimos</t>
  </si>
  <si>
    <t>6.03.05</t>
  </si>
  <si>
    <t>Pagamentos de Contratos de Arrendamentos</t>
  </si>
  <si>
    <t>6.03.06</t>
  </si>
  <si>
    <t>Captação de empréstimos junto ao BNDES</t>
  </si>
  <si>
    <t>6.03.07</t>
  </si>
  <si>
    <t>Recompra de Ações</t>
  </si>
  <si>
    <t>6.03.08</t>
  </si>
  <si>
    <t>Recursos Provenientes do Exercício de Opções de Ações</t>
  </si>
  <si>
    <t>6.03.09</t>
  </si>
  <si>
    <t>Partes relacionadas</t>
  </si>
  <si>
    <t>6.03.10</t>
  </si>
  <si>
    <t>6.04</t>
  </si>
  <si>
    <t>Variação cambial s/caixa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</si>
  <si>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</si>
  <si>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</si>
  <si>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</si>
  <si>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</si>
  <si>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</si>
  <si>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</si>
  <si>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Demonstração de Fluxo de Caixa (Método Indireto - Reais Mil) - Analise  Horizontal e Vertical</t>
  </si>
  <si>
    <t>AH24</t>
  </si>
  <si>
    <t>AV24</t>
  </si>
  <si>
    <t>AH23</t>
  </si>
  <si>
    <t>AV23</t>
  </si>
  <si>
    <t>AH22</t>
  </si>
  <si>
    <t>AV22</t>
  </si>
  <si>
    <t>AH21</t>
  </si>
  <si>
    <t>AV21</t>
  </si>
  <si>
    <t>AH20</t>
  </si>
  <si>
    <t>AV20</t>
  </si>
  <si>
    <t>AH19</t>
  </si>
  <si>
    <t>AV19</t>
  </si>
  <si>
    <t>AH18</t>
  </si>
  <si>
    <t>AV18</t>
  </si>
  <si>
    <t>AH17</t>
  </si>
  <si>
    <t>AV17</t>
  </si>
  <si>
    <t>Balanço Patrimonial - Análise Vertical</t>
  </si>
  <si>
    <t>AH 24</t>
  </si>
  <si>
    <t>Ano 2024</t>
  </si>
  <si>
    <t>Ano 2023</t>
  </si>
  <si>
    <t>Ano 2022</t>
  </si>
  <si>
    <t>Ano 2021</t>
  </si>
  <si>
    <t>Ano 2020</t>
  </si>
  <si>
    <t>Ano 2019</t>
  </si>
  <si>
    <t>Ano 2018</t>
  </si>
  <si>
    <t>Ano 2017</t>
  </si>
  <si>
    <t xml:space="preserve"> Liquidez Geral</t>
  </si>
  <si>
    <t>Índice P/L</t>
  </si>
  <si>
    <t>Lucro Bruto</t>
  </si>
  <si>
    <t xml:space="preserve">Preço no mercado </t>
  </si>
  <si>
    <t>Receita Líquida</t>
  </si>
  <si>
    <t>Lucro Líquido (em milhares)</t>
  </si>
  <si>
    <t xml:space="preserve">Passivo Cirulante </t>
  </si>
  <si>
    <t>Preço das ações que estão no BP</t>
  </si>
  <si>
    <t>Passivo Exigivel a Longo Prazo</t>
  </si>
  <si>
    <t>Margem Líquida</t>
  </si>
  <si>
    <t>Índice P/VPA</t>
  </si>
  <si>
    <t>Lucro Líquido</t>
  </si>
  <si>
    <t>Preço no mercado</t>
  </si>
  <si>
    <t>Liquidez Corrente</t>
  </si>
  <si>
    <t>Valor Patrimonial da Ação</t>
  </si>
  <si>
    <t xml:space="preserve">Ativo Circulante </t>
  </si>
  <si>
    <t>Margem Operacional</t>
  </si>
  <si>
    <t>Índice Dívida Líquida</t>
  </si>
  <si>
    <t>Lucro Operacional Líquido (Ajustado)</t>
  </si>
  <si>
    <t>Dívida Bruta</t>
  </si>
  <si>
    <t>Disponibilidades</t>
  </si>
  <si>
    <t>Liquidez Seca</t>
  </si>
  <si>
    <t>Retorno sobre PL</t>
  </si>
  <si>
    <t>Despesas Antecipadas</t>
  </si>
  <si>
    <t>Patrimônio Líquido</t>
  </si>
  <si>
    <t>Despesa Financeira</t>
  </si>
  <si>
    <t>Líquidas do Imposto de Renda</t>
  </si>
  <si>
    <t>ROA - Return on Asset (Retorno sobre o Ativo)</t>
  </si>
  <si>
    <t>Liquidez Imediata</t>
  </si>
  <si>
    <t>Disponivel</t>
  </si>
  <si>
    <t>IMPOSTO</t>
  </si>
  <si>
    <t>Impostos Federais do Período (Imposto de Renda e Contribuição Social sobre o Lucro)</t>
  </si>
  <si>
    <t>LAIR (Resultado antes dos Tributos sobre o Lucro)</t>
  </si>
  <si>
    <t>Grau de Alavancagem Financeira - GAF</t>
  </si>
  <si>
    <t>Endividamento</t>
  </si>
  <si>
    <t>Capital de Terceiros</t>
  </si>
  <si>
    <t>Investimento</t>
  </si>
  <si>
    <t>Passivos não Financeiro (ou seja, menos todos os passivos exceto Empréstimos e Financiamentos)</t>
  </si>
  <si>
    <t>Composição do Endividamento</t>
  </si>
  <si>
    <t>EBITDA</t>
  </si>
  <si>
    <t>Resultado antes dos Juros, Impostos e Depreciação, Amortização e Exaustão</t>
  </si>
  <si>
    <t>Capitais de Terceiros</t>
  </si>
  <si>
    <t>Valor Contábil da Empresa</t>
  </si>
  <si>
    <t>Nº total de ações em circulação</t>
  </si>
  <si>
    <t>Margem EBITDA</t>
  </si>
  <si>
    <t>Imobilização do Patrimônio Líquido</t>
  </si>
  <si>
    <t>EBITIDA</t>
  </si>
  <si>
    <t xml:space="preserve">Ativo Não Circulante </t>
  </si>
  <si>
    <t>Receitas Líquidas</t>
  </si>
  <si>
    <t>Retorno sobre Investimento</t>
  </si>
  <si>
    <t>Lucro Operacional Líquido (ajustado)</t>
  </si>
  <si>
    <t>Imobilização dos Recursos Não Correntes</t>
  </si>
  <si>
    <t>Giro do Ativo</t>
  </si>
  <si>
    <t>PMRE (365 dias)</t>
  </si>
  <si>
    <t>Estoque</t>
  </si>
  <si>
    <t>Ciclo Operacional (365 dias)</t>
  </si>
  <si>
    <t>Custo das Mercadorias Vendas</t>
  </si>
  <si>
    <t>PMRE</t>
  </si>
  <si>
    <t>Dias</t>
  </si>
  <si>
    <t>PMRV</t>
  </si>
  <si>
    <t>PMRV (365 dias)</t>
  </si>
  <si>
    <t>Ciclo de Caixa (365 dias)</t>
  </si>
  <si>
    <t>Duplicatas a Receber</t>
  </si>
  <si>
    <t>Ciclo Operacional</t>
  </si>
  <si>
    <t>Vendas</t>
  </si>
  <si>
    <t>PMPF</t>
  </si>
  <si>
    <t>Ciclo Operacional (360 dias)</t>
  </si>
  <si>
    <t>PMPF (365 dias)</t>
  </si>
  <si>
    <t>Compras</t>
  </si>
  <si>
    <t>Ciclo de Caixa (360 dias)</t>
  </si>
  <si>
    <t>PMRE (360 dias)</t>
  </si>
  <si>
    <t>PMRV (360 dias)</t>
  </si>
  <si>
    <t>PMPF (360 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</si>
</sst>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164" formatCode="#,##0.00_ ;[Red]\-#,##0.00\ "/>
    <numFmt numFmtId="165" formatCode="#,##0.000"/>
    <numFmt numFmtId="166" formatCode="#,##0_ ;[Red]\-#,##0\ "/>
    <numFmt numFmtId="167" formatCode="0.000"/>
    <numFmt numFmtId="168" formatCode="#,##0.00_ ;\-#,##0.00\ "/>
    <numFmt numFmtId="169" formatCode="#,##0.00000"/>
    <numFmt numFmtId="170" formatCode="0.00000"/>
    <numFmt numFmtId="171" formatCode="0.0%"/>
    <numFmt numFmtId="172" formatCode="#,##0.000_ ;[Red]\-#,##0.000\ "/>
  </numFmts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Arial"/>
      <family val="2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805">
    <xf numFmtId="0" fontId="0" fillId="0" borderId="0" xfId="0"/>
    <xf numFmtId="0" fontId="3" fillId="2" borderId="7" xfId="0" applyFont="1" applyFill="1" applyBorder="1"/>
    <xf numFmtId="10" fontId="0" fillId="0" borderId="3" xfId="1" applyNumberFormat="1" applyFont="1" applyBorder="1"/>
    <xf numFmtId="0" fontId="5" fillId="0" borderId="1" xfId="0" applyFont="1" applyBorder="1" applyAlignment="1">
      <alignment horizontal="center" vertical="center"/>
    </xf>
    <xf numFmtId="3" fontId="0" fillId="0" borderId="0" xfId="0" applyNumberFormat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3" fontId="9" fillId="4" borderId="1" xfId="0" applyNumberFormat="1" applyFont="1" applyFill="1" applyBorder="1"/>
    <xf numFmtId="0" fontId="9" fillId="4" borderId="25" xfId="0" applyFont="1" applyFill="1" applyBorder="1" applyAlignment="1">
      <alignment horizontal="left" vertical="center"/>
    </xf>
    <xf numFmtId="0" fontId="9" fillId="4" borderId="28" xfId="0" applyFont="1" applyFill="1" applyBorder="1" applyAlignment="1">
      <alignment horizontal="left" vertical="center"/>
    </xf>
    <xf numFmtId="3" fontId="9" fillId="4" borderId="18" xfId="0" applyNumberFormat="1" applyFont="1" applyFill="1" applyBorder="1"/>
    <xf numFmtId="3" fontId="9" fillId="4" borderId="25" xfId="0" applyNumberFormat="1" applyFont="1" applyFill="1" applyBorder="1"/>
    <xf numFmtId="0" fontId="11" fillId="0" borderId="3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3" fontId="11" fillId="0" borderId="3" xfId="0" applyNumberFormat="1" applyFont="1" applyBorder="1"/>
    <xf numFmtId="0" fontId="9" fillId="4" borderId="3" xfId="0" applyFont="1" applyFill="1" applyBorder="1" applyAlignment="1">
      <alignment horizontal="left" vertical="center"/>
    </xf>
    <xf numFmtId="0" fontId="9" fillId="4" borderId="29" xfId="0" applyFont="1" applyFill="1" applyBorder="1" applyAlignment="1">
      <alignment horizontal="left" vertical="center"/>
    </xf>
    <xf numFmtId="3" fontId="9" fillId="4" borderId="3" xfId="0" applyNumberFormat="1" applyFont="1" applyFill="1" applyBorder="1"/>
    <xf numFmtId="0" fontId="10" fillId="0" borderId="3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3" fontId="11" fillId="0" borderId="19" xfId="0" applyNumberFormat="1" applyFont="1" applyBorder="1"/>
    <xf numFmtId="0" fontId="9" fillId="4" borderId="12" xfId="0" applyFont="1" applyFill="1" applyBorder="1" applyAlignment="1">
      <alignment horizontal="left" vertical="center"/>
    </xf>
    <xf numFmtId="3" fontId="9" fillId="4" borderId="24" xfId="0" applyNumberFormat="1" applyFont="1" applyFill="1" applyBorder="1"/>
    <xf numFmtId="0" fontId="11" fillId="0" borderId="28" xfId="0" applyFont="1" applyBorder="1" applyAlignment="1">
      <alignment horizontal="left" vertical="center"/>
    </xf>
    <xf numFmtId="3" fontId="11" fillId="0" borderId="18" xfId="0" applyNumberFormat="1" applyFont="1" applyBorder="1"/>
    <xf numFmtId="0" fontId="11" fillId="0" borderId="19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3" fontId="13" fillId="4" borderId="1" xfId="0" applyNumberFormat="1" applyFont="1" applyFill="1" applyBorder="1"/>
    <xf numFmtId="0" fontId="9" fillId="4" borderId="18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3" fontId="13" fillId="4" borderId="33" xfId="0" applyNumberFormat="1" applyFont="1" applyFill="1" applyBorder="1"/>
    <xf numFmtId="0" fontId="11" fillId="0" borderId="3" xfId="0" applyFont="1" applyBorder="1"/>
    <xf numFmtId="0" fontId="11" fillId="0" borderId="4" xfId="0" applyFont="1" applyBorder="1"/>
    <xf numFmtId="0" fontId="11" fillId="0" borderId="19" xfId="0" applyFont="1" applyBorder="1"/>
    <xf numFmtId="0" fontId="12" fillId="4" borderId="7" xfId="0" applyFont="1" applyFill="1" applyBorder="1"/>
    <xf numFmtId="164" fontId="12" fillId="4" borderId="1" xfId="0" applyNumberFormat="1" applyFont="1" applyFill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1" applyNumberFormat="1" applyFont="1" applyAlignment="1">
      <alignment horizontal="center"/>
    </xf>
    <xf numFmtId="0" fontId="5" fillId="0" borderId="26" xfId="0" applyFont="1" applyBorder="1"/>
    <xf numFmtId="0" fontId="5" fillId="0" borderId="14" xfId="0" applyFont="1" applyBorder="1"/>
    <xf numFmtId="0" fontId="5" fillId="2" borderId="30" xfId="0" applyFont="1" applyFill="1" applyBorder="1"/>
    <xf numFmtId="0" fontId="5" fillId="2" borderId="16" xfId="0" applyFont="1" applyFill="1" applyBorder="1"/>
    <xf numFmtId="3" fontId="15" fillId="2" borderId="3" xfId="0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16" xfId="0" applyBorder="1"/>
    <xf numFmtId="3" fontId="0" fillId="0" borderId="3" xfId="0" applyNumberFormat="1" applyBorder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0" fontId="0" fillId="3" borderId="30" xfId="0" applyFill="1" applyBorder="1"/>
    <xf numFmtId="0" fontId="0" fillId="3" borderId="16" xfId="0" applyFill="1" applyBorder="1"/>
    <xf numFmtId="3" fontId="14" fillId="3" borderId="3" xfId="0" applyNumberFormat="1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32" xfId="0" applyFill="1" applyBorder="1"/>
    <xf numFmtId="0" fontId="0" fillId="3" borderId="17" xfId="0" applyFill="1" applyBorder="1"/>
    <xf numFmtId="3" fontId="0" fillId="3" borderId="19" xfId="0" applyNumberFormat="1" applyFill="1" applyBorder="1" applyAlignment="1">
      <alignment horizontal="center" vertical="center"/>
    </xf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3" fontId="0" fillId="3" borderId="38" xfId="0" applyNumberFormat="1" applyFill="1" applyBorder="1" applyAlignment="1">
      <alignment horizontal="center" vertical="center"/>
    </xf>
    <xf numFmtId="165" fontId="0" fillId="3" borderId="38" xfId="0" applyNumberFormat="1" applyFill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3" borderId="45" xfId="0" applyFill="1" applyBorder="1"/>
    <xf numFmtId="0" fontId="0" fillId="3" borderId="43" xfId="0" applyFill="1" applyBorder="1"/>
    <xf numFmtId="2" fontId="0" fillId="3" borderId="46" xfId="0" applyNumberFormat="1" applyFill="1" applyBorder="1" applyAlignment="1">
      <alignment horizontal="center" vertical="center"/>
    </xf>
    <xf numFmtId="10" fontId="0" fillId="0" borderId="0" xfId="1" applyNumberFormat="1" applyFont="1"/>
    <xf numFmtId="164" fontId="0" fillId="0" borderId="24" xfId="2" applyNumberFormat="1" applyFont="1" applyBorder="1"/>
    <xf numFmtId="164" fontId="0" fillId="0" borderId="24" xfId="2" applyNumberFormat="1" applyFont="1" applyBorder="1" applyAlignment="1">
      <alignment horizontal="center" vertical="center"/>
    </xf>
    <xf numFmtId="164" fontId="0" fillId="0" borderId="0" xfId="2" applyNumberFormat="1" applyFont="1"/>
    <xf numFmtId="164" fontId="4" fillId="0" borderId="24" xfId="2" applyNumberFormat="1" applyFont="1" applyBorder="1"/>
    <xf numFmtId="164" fontId="4" fillId="0" borderId="12" xfId="2" applyNumberFormat="1" applyFont="1" applyBorder="1" applyAlignment="1">
      <alignment horizontal="center" vertical="center"/>
    </xf>
    <xf numFmtId="164" fontId="4" fillId="0" borderId="33" xfId="2" applyNumberFormat="1" applyFont="1" applyBorder="1"/>
    <xf numFmtId="164" fontId="4" fillId="0" borderId="11" xfId="2" applyNumberFormat="1" applyFont="1" applyBorder="1"/>
    <xf numFmtId="164" fontId="0" fillId="3" borderId="24" xfId="2" applyNumberFormat="1" applyFont="1" applyFill="1" applyBorder="1"/>
    <xf numFmtId="164" fontId="0" fillId="3" borderId="24" xfId="2" applyNumberFormat="1" applyFont="1" applyFill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17" fillId="0" borderId="24" xfId="2" applyNumberFormat="1" applyFont="1" applyBorder="1"/>
    <xf numFmtId="164" fontId="17" fillId="0" borderId="12" xfId="2" applyNumberFormat="1" applyFont="1" applyBorder="1" applyAlignment="1">
      <alignment horizontal="center" vertical="center"/>
    </xf>
    <xf numFmtId="164" fontId="17" fillId="0" borderId="33" xfId="2" applyNumberFormat="1" applyFont="1" applyBorder="1"/>
    <xf numFmtId="164" fontId="0" fillId="0" borderId="0" xfId="2" applyNumberFormat="1" applyFont="1" applyBorder="1" applyAlignment="1">
      <alignment horizontal="center" vertical="center"/>
    </xf>
    <xf numFmtId="164" fontId="0" fillId="0" borderId="24" xfId="2" applyNumberFormat="1" applyFont="1" applyBorder="1" applyAlignment="1">
      <alignment horizontal="left" vertical="center"/>
    </xf>
    <xf numFmtId="164" fontId="0" fillId="0" borderId="24" xfId="2" applyNumberFormat="1" applyFont="1" applyBorder="1" applyAlignment="1">
      <alignment wrapText="1"/>
    </xf>
    <xf numFmtId="164" fontId="0" fillId="0" borderId="0" xfId="2" applyNumberFormat="1" applyFont="1" applyAlignment="1">
      <alignment wrapText="1"/>
    </xf>
    <xf numFmtId="164" fontId="0" fillId="0" borderId="21" xfId="2" applyNumberFormat="1" applyFont="1" applyBorder="1"/>
    <xf numFmtId="164" fontId="0" fillId="0" borderId="0" xfId="2" applyNumberFormat="1" applyFont="1" applyBorder="1"/>
    <xf numFmtId="166" fontId="0" fillId="0" borderId="24" xfId="2" applyNumberFormat="1" applyFont="1" applyBorder="1" applyAlignment="1">
      <alignment horizontal="center" vertical="center"/>
    </xf>
    <xf numFmtId="166" fontId="0" fillId="0" borderId="24" xfId="2" applyNumberFormat="1" applyFont="1" applyBorder="1"/>
    <xf numFmtId="166" fontId="0" fillId="0" borderId="24" xfId="2" applyNumberFormat="1" applyFont="1" applyBorder="1" applyAlignment="1">
      <alignment horizontal="center"/>
    </xf>
    <xf numFmtId="0" fontId="0" fillId="0" borderId="17" xfId="0" applyBorder="1"/>
    <xf numFmtId="0" fontId="0" fillId="0" borderId="32" xfId="0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1" fillId="0" borderId="24" xfId="1" applyNumberFormat="1" applyFont="1" applyBorder="1" applyAlignment="1">
      <alignment horizontal="center" vertical="center"/>
    </xf>
    <xf numFmtId="44" fontId="0" fillId="0" borderId="24" xfId="2" applyFont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wrapText="1"/>
    </xf>
    <xf numFmtId="166" fontId="17" fillId="0" borderId="11" xfId="2" applyNumberFormat="1" applyFont="1" applyBorder="1" applyAlignment="1">
      <alignment horizontal="center"/>
    </xf>
    <xf numFmtId="166" fontId="17" fillId="0" borderId="11" xfId="2" applyNumberFormat="1" applyFont="1" applyBorder="1" applyAlignment="1">
      <alignment horizontal="center" vertical="center"/>
    </xf>
    <xf numFmtId="2" fontId="0" fillId="0" borderId="24" xfId="1" applyNumberFormat="1" applyFont="1" applyBorder="1"/>
    <xf numFmtId="164" fontId="19" fillId="0" borderId="0" xfId="3" applyNumberFormat="1"/>
    <xf numFmtId="14" fontId="0" fillId="0" borderId="0" xfId="2" applyNumberFormat="1" applyFont="1"/>
    <xf numFmtId="1" fontId="0" fillId="0" borderId="24" xfId="2" applyNumberFormat="1" applyFont="1" applyBorder="1" applyAlignment="1">
      <alignment horizontal="center"/>
    </xf>
    <xf numFmtId="44" fontId="0" fillId="0" borderId="24" xfId="2" applyFont="1" applyBorder="1" applyAlignment="1">
      <alignment horizontal="center"/>
    </xf>
    <xf numFmtId="164" fontId="20" fillId="0" borderId="24" xfId="2" applyNumberFormat="1" applyFont="1" applyBorder="1"/>
    <xf numFmtId="164" fontId="20" fillId="0" borderId="0" xfId="2" applyNumberFormat="1" applyFont="1"/>
    <xf numFmtId="164" fontId="20" fillId="0" borderId="24" xfId="2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3" fillId="0" borderId="24" xfId="0" applyFont="1" applyBorder="1"/>
    <xf numFmtId="0" fontId="3" fillId="0" borderId="24" xfId="0" applyFont="1" applyBorder="1" applyAlignment="1">
      <alignment horizontal="center" vertical="center"/>
    </xf>
    <xf numFmtId="0" fontId="3" fillId="2" borderId="24" xfId="0" applyFont="1" applyFill="1" applyBorder="1"/>
    <xf numFmtId="0" fontId="8" fillId="2" borderId="24" xfId="0" applyFont="1" applyFill="1" applyBorder="1"/>
    <xf numFmtId="0" fontId="4" fillId="0" borderId="24" xfId="0" applyFont="1" applyBorder="1"/>
    <xf numFmtId="0" fontId="7" fillId="5" borderId="24" xfId="0" applyFont="1" applyFill="1" applyBorder="1"/>
    <xf numFmtId="0" fontId="18" fillId="2" borderId="24" xfId="0" applyFont="1" applyFill="1" applyBorder="1"/>
    <xf numFmtId="0" fontId="9" fillId="0" borderId="7" xfId="0" applyFont="1" applyBorder="1" applyAlignment="1">
      <alignment horizontal="center"/>
    </xf>
    <xf numFmtId="3" fontId="9" fillId="4" borderId="7" xfId="0" applyNumberFormat="1" applyFont="1" applyFill="1" applyBorder="1"/>
    <xf numFmtId="3" fontId="9" fillId="4" borderId="8" xfId="0" applyNumberFormat="1" applyFont="1" applyFill="1" applyBorder="1"/>
    <xf numFmtId="3" fontId="11" fillId="0" borderId="53" xfId="0" applyNumberFormat="1" applyFont="1" applyBorder="1"/>
    <xf numFmtId="3" fontId="9" fillId="4" borderId="53" xfId="0" applyNumberFormat="1" applyFont="1" applyFill="1" applyBorder="1"/>
    <xf numFmtId="3" fontId="9" fillId="4" borderId="16" xfId="0" applyNumberFormat="1" applyFont="1" applyFill="1" applyBorder="1"/>
    <xf numFmtId="3" fontId="11" fillId="0" borderId="35" xfId="0" applyNumberFormat="1" applyFont="1" applyBorder="1"/>
    <xf numFmtId="3" fontId="13" fillId="4" borderId="7" xfId="0" applyNumberFormat="1" applyFont="1" applyFill="1" applyBorder="1"/>
    <xf numFmtId="164" fontId="12" fillId="4" borderId="7" xfId="0" applyNumberFormat="1" applyFont="1" applyFill="1" applyBorder="1"/>
    <xf numFmtId="3" fontId="11" fillId="0" borderId="24" xfId="0" applyNumberFormat="1" applyFont="1" applyBorder="1"/>
    <xf numFmtId="4" fontId="0" fillId="0" borderId="24" xfId="0" applyNumberFormat="1" applyBorder="1"/>
    <xf numFmtId="4" fontId="3" fillId="5" borderId="24" xfId="0" applyNumberFormat="1" applyFont="1" applyFill="1" applyBorder="1"/>
    <xf numFmtId="3" fontId="13" fillId="4" borderId="24" xfId="0" applyNumberFormat="1" applyFont="1" applyFill="1" applyBorder="1"/>
    <xf numFmtId="164" fontId="12" fillId="4" borderId="24" xfId="0" applyNumberFormat="1" applyFont="1" applyFill="1" applyBorder="1"/>
    <xf numFmtId="3" fontId="9" fillId="4" borderId="33" xfId="0" applyNumberFormat="1" applyFont="1" applyFill="1" applyBorder="1"/>
    <xf numFmtId="3" fontId="9" fillId="4" borderId="55" xfId="0" applyNumberFormat="1" applyFont="1" applyFill="1" applyBorder="1"/>
    <xf numFmtId="4" fontId="22" fillId="5" borderId="56" xfId="0" applyNumberFormat="1" applyFont="1" applyFill="1" applyBorder="1"/>
    <xf numFmtId="0" fontId="9" fillId="0" borderId="48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3" fontId="0" fillId="0" borderId="57" xfId="0" applyNumberFormat="1" applyBorder="1" applyAlignment="1">
      <alignment horizontal="center" vertical="center"/>
    </xf>
    <xf numFmtId="3" fontId="15" fillId="2" borderId="53" xfId="0" applyNumberFormat="1" applyFont="1" applyFill="1" applyBorder="1" applyAlignment="1">
      <alignment horizontal="center" vertical="center"/>
    </xf>
    <xf numFmtId="3" fontId="5" fillId="2" borderId="53" xfId="0" applyNumberFormat="1" applyFont="1" applyFill="1" applyBorder="1" applyAlignment="1">
      <alignment horizontal="center" vertical="center"/>
    </xf>
    <xf numFmtId="10" fontId="0" fillId="0" borderId="53" xfId="1" applyNumberFormat="1" applyFont="1" applyBorder="1"/>
    <xf numFmtId="3" fontId="14" fillId="3" borderId="53" xfId="0" applyNumberFormat="1" applyFont="1" applyFill="1" applyBorder="1" applyAlignment="1">
      <alignment horizontal="center" vertical="center"/>
    </xf>
    <xf numFmtId="3" fontId="0" fillId="3" borderId="53" xfId="0" applyNumberFormat="1" applyFill="1" applyBorder="1" applyAlignment="1">
      <alignment horizontal="center" vertical="center"/>
    </xf>
    <xf numFmtId="3" fontId="14" fillId="0" borderId="53" xfId="0" applyNumberFormat="1" applyFont="1" applyBorder="1" applyAlignment="1">
      <alignment horizontal="center" vertical="center"/>
    </xf>
    <xf numFmtId="3" fontId="0" fillId="0" borderId="53" xfId="0" applyNumberFormat="1" applyBorder="1" applyAlignment="1">
      <alignment horizontal="center" vertical="center"/>
    </xf>
    <xf numFmtId="3" fontId="0" fillId="3" borderId="35" xfId="0" applyNumberFormat="1" applyFill="1" applyBorder="1" applyAlignment="1">
      <alignment horizontal="center" vertical="center"/>
    </xf>
    <xf numFmtId="3" fontId="0" fillId="3" borderId="36" xfId="0" applyNumberFormat="1" applyFill="1" applyBorder="1" applyAlignment="1">
      <alignment horizontal="center" vertical="center"/>
    </xf>
    <xf numFmtId="165" fontId="0" fillId="3" borderId="36" xfId="0" applyNumberFormat="1" applyFill="1" applyBorder="1" applyAlignment="1">
      <alignment horizontal="center" vertical="center"/>
    </xf>
    <xf numFmtId="2" fontId="0" fillId="3" borderId="44" xfId="0" applyNumberFormat="1" applyFill="1" applyBorder="1" applyAlignment="1">
      <alignment horizontal="center" vertical="center"/>
    </xf>
    <xf numFmtId="0" fontId="0" fillId="0" borderId="52" xfId="0" applyBorder="1"/>
    <xf numFmtId="165" fontId="16" fillId="3" borderId="52" xfId="0" applyNumberFormat="1" applyFont="1" applyFill="1" applyBorder="1" applyAlignment="1">
      <alignment horizontal="center" vertical="center"/>
    </xf>
    <xf numFmtId="167" fontId="0" fillId="3" borderId="33" xfId="0" applyNumberFormat="1" applyFill="1" applyBorder="1" applyAlignment="1">
      <alignment horizontal="center" vertical="center"/>
    </xf>
    <xf numFmtId="3" fontId="15" fillId="2" borderId="24" xfId="0" applyNumberFormat="1" applyFont="1" applyFill="1" applyBorder="1" applyAlignment="1">
      <alignment horizontal="center" vertical="center"/>
    </xf>
    <xf numFmtId="3" fontId="5" fillId="2" borderId="24" xfId="0" applyNumberFormat="1" applyFont="1" applyFill="1" applyBorder="1" applyAlignment="1">
      <alignment horizontal="center" vertical="center"/>
    </xf>
    <xf numFmtId="10" fontId="0" fillId="0" borderId="24" xfId="1" applyNumberFormat="1" applyFont="1" applyFill="1" applyBorder="1"/>
    <xf numFmtId="3" fontId="14" fillId="3" borderId="24" xfId="0" applyNumberFormat="1" applyFont="1" applyFill="1" applyBorder="1" applyAlignment="1">
      <alignment horizontal="center" vertical="center"/>
    </xf>
    <xf numFmtId="3" fontId="16" fillId="3" borderId="24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166" fontId="3" fillId="2" borderId="24" xfId="0" applyNumberFormat="1" applyFont="1" applyFill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4" fillId="0" borderId="16" xfId="0" applyFont="1" applyBorder="1"/>
    <xf numFmtId="0" fontId="5" fillId="6" borderId="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10" fontId="5" fillId="6" borderId="14" xfId="1" applyNumberFormat="1" applyFont="1" applyFill="1" applyBorder="1" applyAlignment="1">
      <alignment horizontal="center" vertical="center"/>
    </xf>
    <xf numFmtId="168" fontId="0" fillId="6" borderId="11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10" fontId="5" fillId="7" borderId="14" xfId="1" applyNumberFormat="1" applyFon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10" fontId="5" fillId="8" borderId="14" xfId="1" applyNumberFormat="1" applyFont="1" applyFill="1" applyBorder="1" applyAlignment="1">
      <alignment horizontal="center" vertical="center"/>
    </xf>
    <xf numFmtId="164" fontId="0" fillId="8" borderId="11" xfId="0" applyNumberFormat="1" applyFill="1" applyBorder="1" applyAlignment="1">
      <alignment horizontal="center" vertical="center"/>
    </xf>
    <xf numFmtId="10" fontId="15" fillId="8" borderId="16" xfId="1" applyNumberFormat="1" applyFont="1" applyFill="1" applyBorder="1" applyAlignment="1">
      <alignment horizontal="center" vertical="center"/>
    </xf>
    <xf numFmtId="10" fontId="5" fillId="8" borderId="16" xfId="1" applyNumberFormat="1" applyFont="1" applyFill="1" applyBorder="1" applyAlignment="1">
      <alignment horizontal="center" vertical="center"/>
    </xf>
    <xf numFmtId="10" fontId="14" fillId="8" borderId="16" xfId="1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10" fontId="5" fillId="9" borderId="14" xfId="1" applyNumberFormat="1" applyFont="1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10" fontId="5" fillId="10" borderId="14" xfId="1" applyNumberFormat="1" applyFont="1" applyFill="1" applyBorder="1" applyAlignment="1">
      <alignment horizontal="center" vertical="center"/>
    </xf>
    <xf numFmtId="10" fontId="0" fillId="10" borderId="0" xfId="1" applyNumberFormat="1" applyFont="1" applyFill="1" applyBorder="1"/>
    <xf numFmtId="0" fontId="5" fillId="5" borderId="7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54" xfId="0" applyFont="1" applyFill="1" applyBorder="1" applyAlignment="1">
      <alignment horizontal="center" vertical="center"/>
    </xf>
    <xf numFmtId="10" fontId="0" fillId="5" borderId="2" xfId="1" applyNumberFormat="1" applyFont="1" applyFill="1" applyBorder="1" applyAlignment="1">
      <alignment horizontal="center" vertical="center"/>
    </xf>
    <xf numFmtId="2" fontId="0" fillId="5" borderId="30" xfId="1" applyNumberFormat="1" applyFont="1" applyFill="1" applyBorder="1" applyAlignment="1">
      <alignment horizontal="center" vertical="center"/>
    </xf>
    <xf numFmtId="4" fontId="1" fillId="6" borderId="10" xfId="0" applyNumberFormat="1" applyFont="1" applyFill="1" applyBorder="1" applyAlignment="1">
      <alignment horizontal="center" vertical="center"/>
    </xf>
    <xf numFmtId="10" fontId="1" fillId="6" borderId="20" xfId="1" applyNumberFormat="1" applyFont="1" applyFill="1" applyBorder="1" applyAlignment="1">
      <alignment horizontal="center"/>
    </xf>
    <xf numFmtId="10" fontId="1" fillId="6" borderId="21" xfId="1" applyNumberFormat="1" applyFont="1" applyFill="1" applyBorder="1" applyAlignment="1">
      <alignment horizontal="center"/>
    </xf>
    <xf numFmtId="10" fontId="2" fillId="6" borderId="22" xfId="1" applyNumberFormat="1" applyFont="1" applyFill="1" applyBorder="1" applyAlignment="1">
      <alignment horizontal="center"/>
    </xf>
    <xf numFmtId="10" fontId="2" fillId="6" borderId="23" xfId="1" applyNumberFormat="1" applyFont="1" applyFill="1" applyBorder="1" applyAlignment="1">
      <alignment horizontal="center"/>
    </xf>
    <xf numFmtId="10" fontId="1" fillId="6" borderId="22" xfId="1" applyNumberFormat="1" applyFont="1" applyFill="1" applyBorder="1" applyAlignment="1">
      <alignment horizontal="center"/>
    </xf>
    <xf numFmtId="10" fontId="2" fillId="6" borderId="21" xfId="1" applyNumberFormat="1" applyFont="1" applyFill="1" applyBorder="1" applyAlignment="1">
      <alignment horizontal="center"/>
    </xf>
    <xf numFmtId="10" fontId="2" fillId="6" borderId="14" xfId="1" applyNumberFormat="1" applyFont="1" applyFill="1" applyBorder="1" applyAlignment="1">
      <alignment horizontal="center"/>
    </xf>
    <xf numFmtId="4" fontId="1" fillId="7" borderId="10" xfId="0" applyNumberFormat="1" applyFont="1" applyFill="1" applyBorder="1" applyAlignment="1">
      <alignment horizontal="center" vertical="center"/>
    </xf>
    <xf numFmtId="10" fontId="1" fillId="7" borderId="14" xfId="1" applyNumberFormat="1" applyFont="1" applyFill="1" applyBorder="1" applyAlignment="1">
      <alignment horizontal="center"/>
    </xf>
    <xf numFmtId="10" fontId="1" fillId="7" borderId="15" xfId="1" applyNumberFormat="1" applyFont="1" applyFill="1" applyBorder="1" applyAlignment="1">
      <alignment horizontal="center"/>
    </xf>
    <xf numFmtId="10" fontId="2" fillId="7" borderId="16" xfId="1" applyNumberFormat="1" applyFont="1" applyFill="1" applyBorder="1" applyAlignment="1">
      <alignment horizontal="center"/>
    </xf>
    <xf numFmtId="10" fontId="1" fillId="7" borderId="16" xfId="1" applyNumberFormat="1" applyFont="1" applyFill="1" applyBorder="1" applyAlignment="1">
      <alignment horizontal="center"/>
    </xf>
    <xf numFmtId="10" fontId="1" fillId="7" borderId="22" xfId="1" applyNumberFormat="1" applyFont="1" applyFill="1" applyBorder="1" applyAlignment="1">
      <alignment horizontal="center"/>
    </xf>
    <xf numFmtId="10" fontId="2" fillId="7" borderId="17" xfId="1" applyNumberFormat="1" applyFont="1" applyFill="1" applyBorder="1" applyAlignment="1">
      <alignment horizontal="center"/>
    </xf>
    <xf numFmtId="10" fontId="1" fillId="7" borderId="20" xfId="1" applyNumberFormat="1" applyFont="1" applyFill="1" applyBorder="1" applyAlignment="1">
      <alignment horizontal="center"/>
    </xf>
    <xf numFmtId="10" fontId="4" fillId="11" borderId="6" xfId="0" applyNumberFormat="1" applyFont="1" applyFill="1" applyBorder="1" applyAlignment="1">
      <alignment horizontal="center"/>
    </xf>
    <xf numFmtId="4" fontId="1" fillId="8" borderId="10" xfId="0" applyNumberFormat="1" applyFont="1" applyFill="1" applyBorder="1" applyAlignment="1">
      <alignment horizontal="center" vertical="center"/>
    </xf>
    <xf numFmtId="10" fontId="1" fillId="8" borderId="14" xfId="1" applyNumberFormat="1" applyFont="1" applyFill="1" applyBorder="1" applyAlignment="1">
      <alignment horizontal="center"/>
    </xf>
    <xf numFmtId="10" fontId="1" fillId="8" borderId="15" xfId="1" applyNumberFormat="1" applyFont="1" applyFill="1" applyBorder="1" applyAlignment="1">
      <alignment horizontal="center"/>
    </xf>
    <xf numFmtId="10" fontId="2" fillId="8" borderId="16" xfId="1" applyNumberFormat="1" applyFont="1" applyFill="1" applyBorder="1" applyAlignment="1">
      <alignment horizontal="center"/>
    </xf>
    <xf numFmtId="10" fontId="1" fillId="8" borderId="16" xfId="1" applyNumberFormat="1" applyFont="1" applyFill="1" applyBorder="1" applyAlignment="1">
      <alignment horizontal="center"/>
    </xf>
    <xf numFmtId="10" fontId="1" fillId="8" borderId="22" xfId="1" applyNumberFormat="1" applyFont="1" applyFill="1" applyBorder="1" applyAlignment="1">
      <alignment horizontal="center"/>
    </xf>
    <xf numFmtId="10" fontId="2" fillId="8" borderId="17" xfId="1" applyNumberFormat="1" applyFont="1" applyFill="1" applyBorder="1" applyAlignment="1">
      <alignment horizontal="center"/>
    </xf>
    <xf numFmtId="10" fontId="2" fillId="8" borderId="14" xfId="1" applyNumberFormat="1" applyFont="1" applyFill="1" applyBorder="1"/>
    <xf numFmtId="4" fontId="1" fillId="9" borderId="10" xfId="0" applyNumberFormat="1" applyFont="1" applyFill="1" applyBorder="1" applyAlignment="1">
      <alignment horizontal="center" vertical="center"/>
    </xf>
    <xf numFmtId="10" fontId="1" fillId="9" borderId="14" xfId="1" applyNumberFormat="1" applyFont="1" applyFill="1" applyBorder="1" applyAlignment="1">
      <alignment horizontal="center"/>
    </xf>
    <xf numFmtId="10" fontId="1" fillId="9" borderId="15" xfId="1" applyNumberFormat="1" applyFont="1" applyFill="1" applyBorder="1" applyAlignment="1">
      <alignment horizontal="center"/>
    </xf>
    <xf numFmtId="10" fontId="2" fillId="9" borderId="16" xfId="1" applyNumberFormat="1" applyFont="1" applyFill="1" applyBorder="1" applyAlignment="1">
      <alignment horizontal="center"/>
    </xf>
    <xf numFmtId="10" fontId="1" fillId="9" borderId="16" xfId="1" applyNumberFormat="1" applyFont="1" applyFill="1" applyBorder="1" applyAlignment="1">
      <alignment horizontal="center"/>
    </xf>
    <xf numFmtId="10" fontId="1" fillId="9" borderId="22" xfId="1" applyNumberFormat="1" applyFont="1" applyFill="1" applyBorder="1" applyAlignment="1">
      <alignment horizontal="center"/>
    </xf>
    <xf numFmtId="10" fontId="2" fillId="9" borderId="17" xfId="1" applyNumberFormat="1" applyFont="1" applyFill="1" applyBorder="1" applyAlignment="1">
      <alignment horizontal="center"/>
    </xf>
    <xf numFmtId="10" fontId="2" fillId="9" borderId="14" xfId="1" applyNumberFormat="1" applyFont="1" applyFill="1" applyBorder="1"/>
    <xf numFmtId="3" fontId="1" fillId="10" borderId="7" xfId="0" applyNumberFormat="1" applyFont="1" applyFill="1" applyBorder="1" applyAlignment="1">
      <alignment horizontal="center" vertical="center"/>
    </xf>
    <xf numFmtId="10" fontId="1" fillId="10" borderId="6" xfId="1" applyNumberFormat="1" applyFont="1" applyFill="1" applyBorder="1" applyAlignment="1">
      <alignment horizontal="center"/>
    </xf>
    <xf numFmtId="10" fontId="1" fillId="10" borderId="5" xfId="1" applyNumberFormat="1" applyFont="1" applyFill="1" applyBorder="1" applyAlignment="1">
      <alignment horizontal="center"/>
    </xf>
    <xf numFmtId="10" fontId="2" fillId="10" borderId="2" xfId="1" applyNumberFormat="1" applyFont="1" applyFill="1" applyBorder="1" applyAlignment="1">
      <alignment horizontal="center"/>
    </xf>
    <xf numFmtId="10" fontId="1" fillId="10" borderId="2" xfId="1" applyNumberFormat="1" applyFont="1" applyFill="1" applyBorder="1" applyAlignment="1">
      <alignment horizontal="center"/>
    </xf>
    <xf numFmtId="10" fontId="2" fillId="10" borderId="9" xfId="1" applyNumberFormat="1" applyFont="1" applyFill="1" applyBorder="1" applyAlignment="1">
      <alignment horizontal="center"/>
    </xf>
    <xf numFmtId="10" fontId="2" fillId="10" borderId="6" xfId="1" applyNumberFormat="1" applyFont="1" applyFill="1" applyBorder="1"/>
    <xf numFmtId="0" fontId="0" fillId="5" borderId="41" xfId="0" applyFill="1" applyBorder="1" applyAlignment="1">
      <alignment horizontal="center" vertical="center"/>
    </xf>
    <xf numFmtId="10" fontId="2" fillId="5" borderId="54" xfId="1" applyNumberFormat="1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10" fontId="2" fillId="5" borderId="2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10" fontId="2" fillId="5" borderId="47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0" fontId="26" fillId="6" borderId="20" xfId="1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0" fontId="26" fillId="8" borderId="14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6" fillId="9" borderId="10" xfId="0" applyFont="1" applyFill="1" applyBorder="1" applyAlignment="1">
      <alignment horizontal="center" vertical="center"/>
    </xf>
    <xf numFmtId="0" fontId="26" fillId="9" borderId="14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6" fillId="10" borderId="26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/>
    </xf>
    <xf numFmtId="166" fontId="3" fillId="5" borderId="24" xfId="0" applyNumberFormat="1" applyFont="1" applyFill="1" applyBorder="1" applyAlignment="1">
      <alignment horizontal="center" vertical="center"/>
    </xf>
    <xf numFmtId="166" fontId="0" fillId="5" borderId="24" xfId="0" applyNumberFormat="1" applyFill="1" applyBorder="1" applyAlignment="1">
      <alignment horizontal="center" vertical="center"/>
    </xf>
    <xf numFmtId="4" fontId="0" fillId="0" borderId="25" xfId="0" applyNumberFormat="1" applyBorder="1"/>
    <xf numFmtId="4" fontId="15" fillId="2" borderId="3" xfId="0" applyNumberFormat="1" applyFont="1" applyFill="1" applyBorder="1"/>
    <xf numFmtId="4" fontId="5" fillId="2" borderId="3" xfId="0" applyNumberFormat="1" applyFont="1" applyFill="1" applyBorder="1"/>
    <xf numFmtId="4" fontId="14" fillId="0" borderId="3" xfId="0" applyNumberFormat="1" applyFont="1" applyBorder="1"/>
    <xf numFmtId="4" fontId="14" fillId="3" borderId="3" xfId="0" applyNumberFormat="1" applyFont="1" applyFill="1" applyBorder="1"/>
    <xf numFmtId="4" fontId="0" fillId="3" borderId="3" xfId="0" applyNumberFormat="1" applyFill="1" applyBorder="1"/>
    <xf numFmtId="4" fontId="0" fillId="3" borderId="19" xfId="0" applyNumberFormat="1" applyFill="1" applyBorder="1"/>
    <xf numFmtId="4" fontId="0" fillId="3" borderId="38" xfId="0" applyNumberFormat="1" applyFill="1" applyBorder="1"/>
    <xf numFmtId="4" fontId="14" fillId="3" borderId="38" xfId="0" applyNumberFormat="1" applyFont="1" applyFill="1" applyBorder="1"/>
    <xf numFmtId="164" fontId="5" fillId="5" borderId="24" xfId="2" applyNumberFormat="1" applyFont="1" applyFill="1" applyBorder="1"/>
    <xf numFmtId="164" fontId="8" fillId="5" borderId="33" xfId="2" applyNumberFormat="1" applyFont="1" applyFill="1" applyBorder="1"/>
    <xf numFmtId="0" fontId="5" fillId="5" borderId="24" xfId="0" applyFont="1" applyFill="1" applyBorder="1" applyAlignment="1">
      <alignment horizontal="center" vertical="center"/>
    </xf>
    <xf numFmtId="0" fontId="5" fillId="5" borderId="24" xfId="0" applyFont="1" applyFill="1" applyBorder="1"/>
    <xf numFmtId="2" fontId="5" fillId="5" borderId="24" xfId="1" applyNumberFormat="1" applyFont="1" applyFill="1" applyBorder="1"/>
    <xf numFmtId="4" fontId="5" fillId="5" borderId="33" xfId="0" applyNumberFormat="1" applyFont="1" applyFill="1" applyBorder="1"/>
    <xf numFmtId="164" fontId="0" fillId="3" borderId="24" xfId="2" applyNumberFormat="1" applyFont="1" applyFill="1" applyBorder="1" applyAlignment="1">
      <alignment horizontal="left" vertical="center"/>
    </xf>
    <xf numFmtId="166" fontId="0" fillId="3" borderId="24" xfId="2" applyNumberFormat="1" applyFont="1" applyFill="1" applyBorder="1" applyAlignment="1">
      <alignment horizontal="center"/>
    </xf>
    <xf numFmtId="164" fontId="4" fillId="0" borderId="24" xfId="2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6" fontId="17" fillId="0" borderId="24" xfId="2" applyNumberFormat="1" applyFont="1" applyBorder="1" applyAlignment="1">
      <alignment horizontal="center" vertical="center"/>
    </xf>
    <xf numFmtId="9" fontId="0" fillId="0" borderId="24" xfId="1" applyFont="1" applyBorder="1" applyAlignment="1">
      <alignment horizontal="center" vertical="center"/>
    </xf>
    <xf numFmtId="0" fontId="0" fillId="0" borderId="24" xfId="2" applyNumberFormat="1" applyFont="1" applyBorder="1" applyAlignment="1">
      <alignment horizontal="center" vertical="center"/>
    </xf>
    <xf numFmtId="164" fontId="17" fillId="0" borderId="24" xfId="2" applyNumberFormat="1" applyFont="1" applyBorder="1" applyAlignment="1">
      <alignment horizontal="center" vertical="center"/>
    </xf>
    <xf numFmtId="166" fontId="17" fillId="0" borderId="24" xfId="2" applyNumberFormat="1" applyFont="1" applyBorder="1" applyAlignment="1">
      <alignment horizontal="center"/>
    </xf>
    <xf numFmtId="164" fontId="0" fillId="0" borderId="24" xfId="2" applyNumberFormat="1" applyFont="1" applyBorder="1" applyAlignment="1">
      <alignment horizontal="center"/>
    </xf>
    <xf numFmtId="3" fontId="17" fillId="0" borderId="24" xfId="0" applyNumberFormat="1" applyFont="1" applyBorder="1" applyAlignment="1">
      <alignment horizontal="center"/>
    </xf>
    <xf numFmtId="166" fontId="18" fillId="5" borderId="24" xfId="0" applyNumberFormat="1" applyFont="1" applyFill="1" applyBorder="1" applyAlignment="1">
      <alignment horizontal="center" vertical="center"/>
    </xf>
    <xf numFmtId="164" fontId="5" fillId="5" borderId="24" xfId="2" applyNumberFormat="1" applyFont="1" applyFill="1" applyBorder="1" applyAlignment="1">
      <alignment horizontal="center" vertical="center"/>
    </xf>
    <xf numFmtId="164" fontId="3" fillId="5" borderId="24" xfId="2" applyNumberFormat="1" applyFont="1" applyFill="1" applyBorder="1" applyAlignment="1">
      <alignment horizontal="center" vertical="center"/>
    </xf>
    <xf numFmtId="164" fontId="8" fillId="5" borderId="11" xfId="2" applyNumberFormat="1" applyFont="1" applyFill="1" applyBorder="1" applyAlignment="1">
      <alignment horizontal="center" vertical="center"/>
    </xf>
    <xf numFmtId="164" fontId="8" fillId="5" borderId="24" xfId="2" applyNumberFormat="1" applyFont="1" applyFill="1" applyBorder="1" applyAlignment="1">
      <alignment horizontal="center" vertical="center"/>
    </xf>
    <xf numFmtId="164" fontId="6" fillId="5" borderId="24" xfId="2" applyNumberFormat="1" applyFont="1" applyFill="1" applyBorder="1" applyAlignment="1">
      <alignment horizontal="center" vertical="center"/>
    </xf>
    <xf numFmtId="10" fontId="5" fillId="5" borderId="24" xfId="1" applyNumberFormat="1" applyFont="1" applyFill="1" applyBorder="1" applyAlignment="1">
      <alignment horizontal="center" vertical="center"/>
    </xf>
    <xf numFmtId="166" fontId="8" fillId="5" borderId="11" xfId="2" applyNumberFormat="1" applyFont="1" applyFill="1" applyBorder="1" applyAlignment="1">
      <alignment horizontal="center" vertical="center"/>
    </xf>
    <xf numFmtId="166" fontId="8" fillId="5" borderId="24" xfId="2" applyNumberFormat="1" applyFont="1" applyFill="1" applyBorder="1" applyAlignment="1">
      <alignment horizontal="center" vertical="center"/>
    </xf>
    <xf numFmtId="44" fontId="5" fillId="5" borderId="24" xfId="2" applyFont="1" applyFill="1" applyBorder="1" applyAlignment="1">
      <alignment horizontal="center" vertical="center"/>
    </xf>
    <xf numFmtId="167" fontId="5" fillId="5" borderId="24" xfId="0" applyNumberFormat="1" applyFont="1" applyFill="1" applyBorder="1" applyAlignment="1">
      <alignment horizontal="center" vertical="center"/>
    </xf>
    <xf numFmtId="2" fontId="0" fillId="0" borderId="12" xfId="1" applyNumberFormat="1" applyFont="1" applyBorder="1"/>
    <xf numFmtId="0" fontId="5" fillId="0" borderId="20" xfId="0" applyFont="1" applyBorder="1"/>
    <xf numFmtId="9" fontId="0" fillId="0" borderId="3" xfId="1" applyFont="1" applyBorder="1"/>
    <xf numFmtId="0" fontId="26" fillId="12" borderId="1" xfId="0" applyFont="1" applyFill="1" applyBorder="1" applyAlignment="1">
      <alignment horizontal="center" vertical="center"/>
    </xf>
    <xf numFmtId="0" fontId="26" fillId="12" borderId="10" xfId="0" applyFont="1" applyFill="1" applyBorder="1" applyAlignment="1">
      <alignment horizontal="center" vertical="center"/>
    </xf>
    <xf numFmtId="10" fontId="26" fillId="12" borderId="20" xfId="1" applyNumberFormat="1" applyFont="1" applyFill="1" applyBorder="1" applyAlignment="1">
      <alignment horizontal="center" vertical="center"/>
    </xf>
    <xf numFmtId="4" fontId="1" fillId="12" borderId="10" xfId="0" applyNumberFormat="1" applyFont="1" applyFill="1" applyBorder="1" applyAlignment="1">
      <alignment horizontal="center" vertical="center"/>
    </xf>
    <xf numFmtId="10" fontId="1" fillId="12" borderId="20" xfId="1" applyNumberFormat="1" applyFont="1" applyFill="1" applyBorder="1" applyAlignment="1">
      <alignment horizontal="center"/>
    </xf>
    <xf numFmtId="10" fontId="1" fillId="12" borderId="21" xfId="1" applyNumberFormat="1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 vertical="center"/>
    </xf>
    <xf numFmtId="10" fontId="5" fillId="12" borderId="14" xfId="1" applyNumberFormat="1" applyFont="1" applyFill="1" applyBorder="1" applyAlignment="1">
      <alignment horizontal="center" vertical="center"/>
    </xf>
    <xf numFmtId="168" fontId="0" fillId="12" borderId="11" xfId="0" applyNumberFormat="1" applyFill="1" applyBorder="1" applyAlignment="1">
      <alignment horizontal="center" vertical="center"/>
    </xf>
    <xf numFmtId="164" fontId="28" fillId="0" borderId="0" xfId="2" applyNumberFormat="1" applyFont="1"/>
    <xf numFmtId="10" fontId="1" fillId="12" borderId="15" xfId="1" applyNumberFormat="1" applyFont="1" applyFill="1" applyBorder="1" applyAlignment="1">
      <alignment horizontal="center" vertical="center"/>
    </xf>
    <xf numFmtId="10" fontId="1" fillId="6" borderId="15" xfId="1" applyNumberFormat="1" applyFont="1" applyFill="1" applyBorder="1" applyAlignment="1">
      <alignment horizontal="center" vertical="center"/>
    </xf>
    <xf numFmtId="10" fontId="1" fillId="7" borderId="15" xfId="1" applyNumberFormat="1" applyFont="1" applyFill="1" applyBorder="1" applyAlignment="1">
      <alignment horizontal="center" vertical="center"/>
    </xf>
    <xf numFmtId="10" fontId="1" fillId="8" borderId="15" xfId="1" applyNumberFormat="1" applyFont="1" applyFill="1" applyBorder="1" applyAlignment="1">
      <alignment horizontal="center" vertical="center"/>
    </xf>
    <xf numFmtId="10" fontId="1" fillId="9" borderId="15" xfId="1" applyNumberFormat="1" applyFont="1" applyFill="1" applyBorder="1" applyAlignment="1">
      <alignment horizontal="center" vertical="center"/>
    </xf>
    <xf numFmtId="10" fontId="1" fillId="10" borderId="15" xfId="1" applyNumberFormat="1" applyFont="1" applyFill="1" applyBorder="1" applyAlignment="1">
      <alignment horizontal="center" vertical="center"/>
    </xf>
    <xf numFmtId="10" fontId="1" fillId="8" borderId="16" xfId="1" applyNumberFormat="1" applyFon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169" fontId="0" fillId="3" borderId="38" xfId="0" applyNumberFormat="1" applyFill="1" applyBorder="1" applyAlignment="1">
      <alignment horizontal="center" vertical="center"/>
    </xf>
    <xf numFmtId="170" fontId="0" fillId="3" borderId="46" xfId="0" applyNumberFormat="1" applyFill="1" applyBorder="1" applyAlignment="1">
      <alignment horizontal="center" vertical="center"/>
    </xf>
    <xf numFmtId="169" fontId="0" fillId="3" borderId="46" xfId="0" applyNumberFormat="1" applyFill="1" applyBorder="1" applyAlignment="1">
      <alignment horizontal="center" vertical="center"/>
    </xf>
    <xf numFmtId="169" fontId="4" fillId="3" borderId="38" xfId="0" applyNumberFormat="1" applyFont="1" applyFill="1" applyBorder="1"/>
    <xf numFmtId="169" fontId="4" fillId="3" borderId="46" xfId="0" applyNumberFormat="1" applyFont="1" applyFill="1" applyBorder="1"/>
    <xf numFmtId="4" fontId="8" fillId="2" borderId="3" xfId="0" applyNumberFormat="1" applyFont="1" applyFill="1" applyBorder="1"/>
    <xf numFmtId="4" fontId="4" fillId="3" borderId="19" xfId="0" applyNumberFormat="1" applyFont="1" applyFill="1" applyBorder="1"/>
    <xf numFmtId="3" fontId="29" fillId="0" borderId="53" xfId="0" applyNumberFormat="1" applyFont="1" applyBorder="1" applyAlignment="1">
      <alignment horizontal="center" vertical="center"/>
    </xf>
    <xf numFmtId="3" fontId="29" fillId="3" borderId="35" xfId="0" applyNumberFormat="1" applyFont="1" applyFill="1" applyBorder="1" applyAlignment="1">
      <alignment horizontal="center" vertical="center"/>
    </xf>
    <xf numFmtId="4" fontId="4" fillId="3" borderId="3" xfId="0" applyNumberFormat="1" applyFont="1" applyFill="1" applyBorder="1"/>
    <xf numFmtId="4" fontId="29" fillId="3" borderId="3" xfId="0" applyNumberFormat="1" applyFont="1" applyFill="1" applyBorder="1"/>
    <xf numFmtId="4" fontId="4" fillId="0" borderId="3" xfId="0" applyNumberFormat="1" applyFont="1" applyBorder="1"/>
    <xf numFmtId="3" fontId="4" fillId="3" borderId="3" xfId="0" applyNumberFormat="1" applyFont="1" applyFill="1" applyBorder="1" applyAlignment="1">
      <alignment horizontal="center" vertical="center"/>
    </xf>
    <xf numFmtId="3" fontId="4" fillId="3" borderId="53" xfId="0" applyNumberFormat="1" applyFont="1" applyFill="1" applyBorder="1" applyAlignment="1">
      <alignment horizontal="center" vertical="center"/>
    </xf>
    <xf numFmtId="3" fontId="4" fillId="3" borderId="24" xfId="0" applyNumberFormat="1" applyFont="1" applyFill="1" applyBorder="1" applyAlignment="1">
      <alignment horizontal="center" vertical="center"/>
    </xf>
    <xf numFmtId="3" fontId="11" fillId="12" borderId="3" xfId="0" applyNumberFormat="1" applyFont="1" applyFill="1" applyBorder="1"/>
    <xf numFmtId="3" fontId="11" fillId="12" borderId="18" xfId="0" applyNumberFormat="1" applyFont="1" applyFill="1" applyBorder="1"/>
    <xf numFmtId="3" fontId="11" fillId="6" borderId="3" xfId="0" applyNumberFormat="1" applyFont="1" applyFill="1" applyBorder="1"/>
    <xf numFmtId="3" fontId="11" fillId="6" borderId="18" xfId="0" applyNumberFormat="1" applyFont="1" applyFill="1" applyBorder="1"/>
    <xf numFmtId="3" fontId="11" fillId="7" borderId="3" xfId="0" applyNumberFormat="1" applyFont="1" applyFill="1" applyBorder="1"/>
    <xf numFmtId="3" fontId="11" fillId="7" borderId="19" xfId="0" applyNumberFormat="1" applyFont="1" applyFill="1" applyBorder="1"/>
    <xf numFmtId="3" fontId="11" fillId="7" borderId="18" xfId="0" applyNumberFormat="1" applyFont="1" applyFill="1" applyBorder="1"/>
    <xf numFmtId="3" fontId="11" fillId="8" borderId="3" xfId="0" applyNumberFormat="1" applyFont="1" applyFill="1" applyBorder="1"/>
    <xf numFmtId="3" fontId="11" fillId="8" borderId="19" xfId="0" applyNumberFormat="1" applyFont="1" applyFill="1" applyBorder="1"/>
    <xf numFmtId="3" fontId="11" fillId="9" borderId="53" xfId="0" applyNumberFormat="1" applyFont="1" applyFill="1" applyBorder="1"/>
    <xf numFmtId="3" fontId="11" fillId="9" borderId="35" xfId="0" applyNumberFormat="1" applyFont="1" applyFill="1" applyBorder="1"/>
    <xf numFmtId="3" fontId="11" fillId="10" borderId="24" xfId="0" applyNumberFormat="1" applyFont="1" applyFill="1" applyBorder="1"/>
    <xf numFmtId="4" fontId="30" fillId="5" borderId="56" xfId="0" applyNumberFormat="1" applyFont="1" applyFill="1" applyBorder="1"/>
    <xf numFmtId="4" fontId="1" fillId="5" borderId="33" xfId="0" applyNumberFormat="1" applyFont="1" applyFill="1" applyBorder="1"/>
    <xf numFmtId="4" fontId="0" fillId="5" borderId="24" xfId="0" applyNumberFormat="1" applyFill="1" applyBorder="1"/>
    <xf numFmtId="3" fontId="10" fillId="5" borderId="24" xfId="0" applyNumberFormat="1" applyFont="1" applyFill="1" applyBorder="1"/>
    <xf numFmtId="3" fontId="10" fillId="10" borderId="55" xfId="0" applyNumberFormat="1" applyFont="1" applyFill="1" applyBorder="1"/>
    <xf numFmtId="3" fontId="10" fillId="10" borderId="33" xfId="0" applyNumberFormat="1" applyFont="1" applyFill="1" applyBorder="1"/>
    <xf numFmtId="3" fontId="10" fillId="10" borderId="24" xfId="0" applyNumberFormat="1" applyFont="1" applyFill="1" applyBorder="1"/>
    <xf numFmtId="3" fontId="31" fillId="10" borderId="24" xfId="0" applyNumberFormat="1" applyFont="1" applyFill="1" applyBorder="1"/>
    <xf numFmtId="164" fontId="32" fillId="10" borderId="24" xfId="0" applyNumberFormat="1" applyFont="1" applyFill="1" applyBorder="1"/>
    <xf numFmtId="3" fontId="10" fillId="9" borderId="7" xfId="0" applyNumberFormat="1" applyFont="1" applyFill="1" applyBorder="1"/>
    <xf numFmtId="3" fontId="10" fillId="9" borderId="8" xfId="0" applyNumberFormat="1" applyFont="1" applyFill="1" applyBorder="1"/>
    <xf numFmtId="3" fontId="10" fillId="9" borderId="53" xfId="0" applyNumberFormat="1" applyFont="1" applyFill="1" applyBorder="1"/>
    <xf numFmtId="3" fontId="10" fillId="9" borderId="16" xfId="0" applyNumberFormat="1" applyFont="1" applyFill="1" applyBorder="1"/>
    <xf numFmtId="3" fontId="31" fillId="9" borderId="7" xfId="0" applyNumberFormat="1" applyFont="1" applyFill="1" applyBorder="1"/>
    <xf numFmtId="164" fontId="32" fillId="9" borderId="7" xfId="0" applyNumberFormat="1" applyFont="1" applyFill="1" applyBorder="1"/>
    <xf numFmtId="3" fontId="10" fillId="8" borderId="1" xfId="0" applyNumberFormat="1" applyFont="1" applyFill="1" applyBorder="1"/>
    <xf numFmtId="3" fontId="10" fillId="8" borderId="18" xfId="0" applyNumberFormat="1" applyFont="1" applyFill="1" applyBorder="1"/>
    <xf numFmtId="3" fontId="10" fillId="8" borderId="3" xfId="0" applyNumberFormat="1" applyFont="1" applyFill="1" applyBorder="1"/>
    <xf numFmtId="3" fontId="10" fillId="8" borderId="24" xfId="0" applyNumberFormat="1" applyFont="1" applyFill="1" applyBorder="1"/>
    <xf numFmtId="3" fontId="31" fillId="8" borderId="1" xfId="0" applyNumberFormat="1" applyFont="1" applyFill="1" applyBorder="1"/>
    <xf numFmtId="164" fontId="32" fillId="8" borderId="1" xfId="0" applyNumberFormat="1" applyFont="1" applyFill="1" applyBorder="1"/>
    <xf numFmtId="3" fontId="10" fillId="7" borderId="1" xfId="0" applyNumberFormat="1" applyFont="1" applyFill="1" applyBorder="1"/>
    <xf numFmtId="3" fontId="10" fillId="7" borderId="25" xfId="0" applyNumberFormat="1" applyFont="1" applyFill="1" applyBorder="1"/>
    <xf numFmtId="3" fontId="10" fillId="7" borderId="3" xfId="0" applyNumberFormat="1" applyFont="1" applyFill="1" applyBorder="1"/>
    <xf numFmtId="3" fontId="10" fillId="7" borderId="24" xfId="0" applyNumberFormat="1" applyFont="1" applyFill="1" applyBorder="1"/>
    <xf numFmtId="3" fontId="31" fillId="7" borderId="1" xfId="0" applyNumberFormat="1" applyFont="1" applyFill="1" applyBorder="1"/>
    <xf numFmtId="3" fontId="10" fillId="7" borderId="18" xfId="0" applyNumberFormat="1" applyFont="1" applyFill="1" applyBorder="1"/>
    <xf numFmtId="164" fontId="32" fillId="7" borderId="1" xfId="0" applyNumberFormat="1" applyFont="1" applyFill="1" applyBorder="1"/>
    <xf numFmtId="3" fontId="10" fillId="6" borderId="1" xfId="0" applyNumberFormat="1" applyFont="1" applyFill="1" applyBorder="1"/>
    <xf numFmtId="3" fontId="10" fillId="6" borderId="18" xfId="0" applyNumberFormat="1" applyFont="1" applyFill="1" applyBorder="1"/>
    <xf numFmtId="3" fontId="10" fillId="6" borderId="3" xfId="0" applyNumberFormat="1" applyFont="1" applyFill="1" applyBorder="1"/>
    <xf numFmtId="3" fontId="10" fillId="6" borderId="24" xfId="0" applyNumberFormat="1" applyFont="1" applyFill="1" applyBorder="1"/>
    <xf numFmtId="3" fontId="31" fillId="6" borderId="33" xfId="0" applyNumberFormat="1" applyFont="1" applyFill="1" applyBorder="1"/>
    <xf numFmtId="164" fontId="32" fillId="6" borderId="1" xfId="0" applyNumberFormat="1" applyFont="1" applyFill="1" applyBorder="1"/>
    <xf numFmtId="3" fontId="10" fillId="12" borderId="1" xfId="0" applyNumberFormat="1" applyFont="1" applyFill="1" applyBorder="1"/>
    <xf numFmtId="3" fontId="10" fillId="12" borderId="18" xfId="0" applyNumberFormat="1" applyFont="1" applyFill="1" applyBorder="1"/>
    <xf numFmtId="3" fontId="10" fillId="12" borderId="3" xfId="0" applyNumberFormat="1" applyFont="1" applyFill="1" applyBorder="1"/>
    <xf numFmtId="3" fontId="10" fillId="12" borderId="24" xfId="0" applyNumberFormat="1" applyFont="1" applyFill="1" applyBorder="1"/>
    <xf numFmtId="3" fontId="31" fillId="12" borderId="33" xfId="0" applyNumberFormat="1" applyFont="1" applyFill="1" applyBorder="1"/>
    <xf numFmtId="164" fontId="32" fillId="12" borderId="1" xfId="0" applyNumberFormat="1" applyFont="1" applyFill="1" applyBorder="1"/>
    <xf numFmtId="0" fontId="0" fillId="0" borderId="58" xfId="0" applyBorder="1"/>
    <xf numFmtId="0" fontId="3" fillId="2" borderId="16" xfId="0" applyFont="1" applyFill="1" applyBorder="1"/>
    <xf numFmtId="0" fontId="8" fillId="2" borderId="16" xfId="0" applyFont="1" applyFill="1" applyBorder="1"/>
    <xf numFmtId="0" fontId="3" fillId="5" borderId="16" xfId="0" applyFont="1" applyFill="1" applyBorder="1"/>
    <xf numFmtId="0" fontId="18" fillId="2" borderId="16" xfId="0" applyFont="1" applyFill="1" applyBorder="1"/>
    <xf numFmtId="166" fontId="21" fillId="5" borderId="12" xfId="0" applyNumberFormat="1" applyFont="1" applyFill="1" applyBorder="1" applyAlignment="1">
      <alignment horizontal="right" wrapText="1"/>
    </xf>
    <xf numFmtId="166" fontId="0" fillId="0" borderId="12" xfId="0" applyNumberFormat="1" applyBorder="1" applyAlignment="1">
      <alignment horizontal="right" wrapText="1"/>
    </xf>
    <xf numFmtId="166" fontId="3" fillId="5" borderId="12" xfId="0" applyNumberFormat="1" applyFont="1" applyFill="1" applyBorder="1" applyAlignment="1">
      <alignment horizontal="right" wrapText="1"/>
    </xf>
    <xf numFmtId="0" fontId="0" fillId="3" borderId="58" xfId="0" applyFill="1" applyBorder="1"/>
    <xf numFmtId="168" fontId="0" fillId="12" borderId="58" xfId="0" applyNumberFormat="1" applyFill="1" applyBorder="1" applyAlignment="1">
      <alignment horizontal="center" vertical="center"/>
    </xf>
    <xf numFmtId="10" fontId="1" fillId="12" borderId="58" xfId="1" applyNumberFormat="1" applyFont="1" applyFill="1" applyBorder="1" applyAlignment="1">
      <alignment horizontal="center" vertical="center"/>
    </xf>
    <xf numFmtId="168" fontId="0" fillId="6" borderId="58" xfId="0" applyNumberFormat="1" applyFill="1" applyBorder="1" applyAlignment="1">
      <alignment horizontal="center" vertical="center"/>
    </xf>
    <xf numFmtId="10" fontId="1" fillId="6" borderId="58" xfId="1" applyNumberFormat="1" applyFont="1" applyFill="1" applyBorder="1" applyAlignment="1">
      <alignment horizontal="center" vertical="center"/>
    </xf>
    <xf numFmtId="164" fontId="0" fillId="7" borderId="58" xfId="0" applyNumberFormat="1" applyFill="1" applyBorder="1" applyAlignment="1">
      <alignment horizontal="center" vertical="center"/>
    </xf>
    <xf numFmtId="10" fontId="1" fillId="7" borderId="58" xfId="1" applyNumberFormat="1" applyFont="1" applyFill="1" applyBorder="1" applyAlignment="1">
      <alignment horizontal="center" vertical="center"/>
    </xf>
    <xf numFmtId="164" fontId="0" fillId="8" borderId="58" xfId="0" applyNumberFormat="1" applyFill="1" applyBorder="1" applyAlignment="1">
      <alignment horizontal="center" vertical="center"/>
    </xf>
    <xf numFmtId="164" fontId="0" fillId="9" borderId="58" xfId="0" applyNumberFormat="1" applyFill="1" applyBorder="1" applyAlignment="1">
      <alignment horizontal="center" vertical="center"/>
    </xf>
    <xf numFmtId="10" fontId="1" fillId="9" borderId="58" xfId="1" applyNumberFormat="1" applyFont="1" applyFill="1" applyBorder="1" applyAlignment="1">
      <alignment horizontal="center" vertical="center"/>
    </xf>
    <xf numFmtId="2" fontId="0" fillId="10" borderId="58" xfId="1" applyNumberFormat="1" applyFont="1" applyFill="1" applyBorder="1" applyAlignment="1">
      <alignment horizontal="center" vertical="center"/>
    </xf>
    <xf numFmtId="10" fontId="1" fillId="10" borderId="58" xfId="1" applyNumberFormat="1" applyFont="1" applyFill="1" applyBorder="1" applyAlignment="1">
      <alignment horizontal="center" vertical="center"/>
    </xf>
    <xf numFmtId="2" fontId="0" fillId="5" borderId="58" xfId="1" applyNumberFormat="1" applyFont="1" applyFill="1" applyBorder="1" applyAlignment="1">
      <alignment horizontal="center" vertical="center"/>
    </xf>
    <xf numFmtId="10" fontId="0" fillId="5" borderId="58" xfId="1" applyNumberFormat="1" applyFont="1" applyFill="1" applyBorder="1" applyAlignment="1">
      <alignment horizontal="center" vertical="center"/>
    </xf>
    <xf numFmtId="168" fontId="0" fillId="12" borderId="60" xfId="0" applyNumberFormat="1" applyFill="1" applyBorder="1" applyAlignment="1">
      <alignment horizontal="center" vertical="center"/>
    </xf>
    <xf numFmtId="10" fontId="1" fillId="12" borderId="37" xfId="1" applyNumberFormat="1" applyFont="1" applyFill="1" applyBorder="1" applyAlignment="1">
      <alignment horizontal="center" vertical="center"/>
    </xf>
    <xf numFmtId="168" fontId="0" fillId="6" borderId="60" xfId="0" applyNumberFormat="1" applyFill="1" applyBorder="1" applyAlignment="1">
      <alignment horizontal="center" vertical="center"/>
    </xf>
    <xf numFmtId="10" fontId="1" fillId="6" borderId="37" xfId="1" applyNumberFormat="1" applyFont="1" applyFill="1" applyBorder="1" applyAlignment="1">
      <alignment horizontal="center" vertical="center"/>
    </xf>
    <xf numFmtId="164" fontId="0" fillId="7" borderId="60" xfId="0" applyNumberFormat="1" applyFill="1" applyBorder="1" applyAlignment="1">
      <alignment horizontal="center" vertical="center"/>
    </xf>
    <xf numFmtId="10" fontId="1" fillId="7" borderId="37" xfId="1" applyNumberFormat="1" applyFont="1" applyFill="1" applyBorder="1" applyAlignment="1">
      <alignment horizontal="center" vertical="center"/>
    </xf>
    <xf numFmtId="164" fontId="0" fillId="8" borderId="60" xfId="0" applyNumberFormat="1" applyFill="1" applyBorder="1" applyAlignment="1">
      <alignment horizontal="center" vertical="center"/>
    </xf>
    <xf numFmtId="164" fontId="0" fillId="9" borderId="60" xfId="0" applyNumberFormat="1" applyFill="1" applyBorder="1" applyAlignment="1">
      <alignment horizontal="center" vertical="center"/>
    </xf>
    <xf numFmtId="10" fontId="1" fillId="9" borderId="37" xfId="1" applyNumberFormat="1" applyFont="1" applyFill="1" applyBorder="1" applyAlignment="1">
      <alignment horizontal="center" vertical="center"/>
    </xf>
    <xf numFmtId="10" fontId="1" fillId="10" borderId="37" xfId="1" applyNumberFormat="1" applyFont="1" applyFill="1" applyBorder="1" applyAlignment="1">
      <alignment horizontal="center" vertical="center"/>
    </xf>
    <xf numFmtId="2" fontId="0" fillId="5" borderId="32" xfId="1" applyNumberFormat="1" applyFont="1" applyFill="1" applyBorder="1" applyAlignment="1">
      <alignment horizontal="center" vertical="center"/>
    </xf>
    <xf numFmtId="10" fontId="0" fillId="5" borderId="9" xfId="1" applyNumberFormat="1" applyFont="1" applyFill="1" applyBorder="1" applyAlignment="1">
      <alignment horizontal="center" vertical="center"/>
    </xf>
    <xf numFmtId="0" fontId="5" fillId="2" borderId="58" xfId="0" applyFont="1" applyFill="1" applyBorder="1"/>
    <xf numFmtId="10" fontId="14" fillId="8" borderId="58" xfId="1" applyNumberFormat="1" applyFont="1" applyFill="1" applyBorder="1" applyAlignment="1">
      <alignment horizontal="center" vertical="center"/>
    </xf>
    <xf numFmtId="10" fontId="1" fillId="8" borderId="17" xfId="1" applyNumberFormat="1" applyFont="1" applyFill="1" applyBorder="1" applyAlignment="1">
      <alignment horizontal="center" vertical="center"/>
    </xf>
    <xf numFmtId="168" fontId="0" fillId="12" borderId="67" xfId="0" applyNumberFormat="1" applyFill="1" applyBorder="1" applyAlignment="1">
      <alignment horizontal="center" vertical="center"/>
    </xf>
    <xf numFmtId="10" fontId="1" fillId="12" borderId="67" xfId="1" applyNumberFormat="1" applyFont="1" applyFill="1" applyBorder="1" applyAlignment="1">
      <alignment horizontal="center" vertical="center"/>
    </xf>
    <xf numFmtId="168" fontId="0" fillId="6" borderId="67" xfId="0" applyNumberFormat="1" applyFill="1" applyBorder="1" applyAlignment="1">
      <alignment horizontal="center" vertical="center"/>
    </xf>
    <xf numFmtId="10" fontId="1" fillId="6" borderId="67" xfId="1" applyNumberFormat="1" applyFont="1" applyFill="1" applyBorder="1" applyAlignment="1">
      <alignment horizontal="center" vertical="center"/>
    </xf>
    <xf numFmtId="164" fontId="0" fillId="7" borderId="67" xfId="0" applyNumberFormat="1" applyFill="1" applyBorder="1" applyAlignment="1">
      <alignment horizontal="center" vertical="center"/>
    </xf>
    <xf numFmtId="10" fontId="1" fillId="7" borderId="67" xfId="1" applyNumberFormat="1" applyFont="1" applyFill="1" applyBorder="1" applyAlignment="1">
      <alignment horizontal="center" vertical="center"/>
    </xf>
    <xf numFmtId="164" fontId="0" fillId="8" borderId="67" xfId="0" applyNumberFormat="1" applyFill="1" applyBorder="1" applyAlignment="1">
      <alignment horizontal="center" vertical="center"/>
    </xf>
    <xf numFmtId="10" fontId="1" fillId="8" borderId="67" xfId="1" applyNumberFormat="1" applyFont="1" applyFill="1" applyBorder="1" applyAlignment="1">
      <alignment horizontal="center" vertical="center"/>
    </xf>
    <xf numFmtId="164" fontId="0" fillId="9" borderId="67" xfId="0" applyNumberFormat="1" applyFill="1" applyBorder="1" applyAlignment="1">
      <alignment horizontal="center" vertical="center"/>
    </xf>
    <xf numFmtId="10" fontId="1" fillId="9" borderId="67" xfId="1" applyNumberFormat="1" applyFont="1" applyFill="1" applyBorder="1" applyAlignment="1">
      <alignment horizontal="center" vertical="center"/>
    </xf>
    <xf numFmtId="2" fontId="0" fillId="10" borderId="67" xfId="1" applyNumberFormat="1" applyFont="1" applyFill="1" applyBorder="1" applyAlignment="1">
      <alignment horizontal="center" vertical="center"/>
    </xf>
    <xf numFmtId="10" fontId="1" fillId="10" borderId="67" xfId="1" applyNumberFormat="1" applyFont="1" applyFill="1" applyBorder="1" applyAlignment="1">
      <alignment horizontal="center" vertical="center"/>
    </xf>
    <xf numFmtId="2" fontId="0" fillId="5" borderId="67" xfId="1" applyNumberFormat="1" applyFont="1" applyFill="1" applyBorder="1" applyAlignment="1">
      <alignment horizontal="center" vertical="center"/>
    </xf>
    <xf numFmtId="10" fontId="0" fillId="5" borderId="67" xfId="1" applyNumberFormat="1" applyFont="1" applyFill="1" applyBorder="1" applyAlignment="1">
      <alignment horizontal="center" vertical="center"/>
    </xf>
    <xf numFmtId="0" fontId="0" fillId="12" borderId="61" xfId="0" applyFill="1" applyBorder="1"/>
    <xf numFmtId="0" fontId="0" fillId="12" borderId="62" xfId="0" applyFill="1" applyBorder="1"/>
    <xf numFmtId="0" fontId="0" fillId="12" borderId="63" xfId="0" applyFill="1" applyBorder="1"/>
    <xf numFmtId="0" fontId="0" fillId="12" borderId="64" xfId="0" applyFill="1" applyBorder="1"/>
    <xf numFmtId="0" fontId="0" fillId="12" borderId="65" xfId="0" applyFill="1" applyBorder="1"/>
    <xf numFmtId="0" fontId="0" fillId="12" borderId="66" xfId="0" applyFill="1" applyBorder="1"/>
    <xf numFmtId="4" fontId="0" fillId="6" borderId="25" xfId="0" applyNumberFormat="1" applyFill="1" applyBorder="1"/>
    <xf numFmtId="4" fontId="15" fillId="6" borderId="3" xfId="0" applyNumberFormat="1" applyFont="1" applyFill="1" applyBorder="1"/>
    <xf numFmtId="4" fontId="5" fillId="6" borderId="3" xfId="0" applyNumberFormat="1" applyFont="1" applyFill="1" applyBorder="1"/>
    <xf numFmtId="9" fontId="0" fillId="6" borderId="3" xfId="1" applyFont="1" applyFill="1" applyBorder="1"/>
    <xf numFmtId="4" fontId="14" fillId="6" borderId="3" xfId="0" applyNumberFormat="1" applyFont="1" applyFill="1" applyBorder="1"/>
    <xf numFmtId="4" fontId="4" fillId="6" borderId="3" xfId="0" applyNumberFormat="1" applyFont="1" applyFill="1" applyBorder="1"/>
    <xf numFmtId="4" fontId="0" fillId="6" borderId="3" xfId="0" applyNumberFormat="1" applyFill="1" applyBorder="1"/>
    <xf numFmtId="4" fontId="29" fillId="6" borderId="3" xfId="0" applyNumberFormat="1" applyFont="1" applyFill="1" applyBorder="1"/>
    <xf numFmtId="4" fontId="4" fillId="6" borderId="19" xfId="0" applyNumberFormat="1" applyFont="1" applyFill="1" applyBorder="1"/>
    <xf numFmtId="4" fontId="8" fillId="6" borderId="58" xfId="0" applyNumberFormat="1" applyFont="1" applyFill="1" applyBorder="1"/>
    <xf numFmtId="4" fontId="4" fillId="6" borderId="67" xfId="0" applyNumberFormat="1" applyFont="1" applyFill="1" applyBorder="1"/>
    <xf numFmtId="4" fontId="0" fillId="6" borderId="68" xfId="0" applyNumberFormat="1" applyFill="1" applyBorder="1"/>
    <xf numFmtId="4" fontId="0" fillId="6" borderId="39" xfId="0" applyNumberFormat="1" applyFill="1" applyBorder="1"/>
    <xf numFmtId="169" fontId="4" fillId="6" borderId="39" xfId="0" applyNumberFormat="1" applyFont="1" applyFill="1" applyBorder="1"/>
    <xf numFmtId="4" fontId="14" fillId="6" borderId="39" xfId="0" applyNumberFormat="1" applyFont="1" applyFill="1" applyBorder="1"/>
    <xf numFmtId="169" fontId="4" fillId="6" borderId="71" xfId="0" applyNumberFormat="1" applyFont="1" applyFill="1" applyBorder="1"/>
    <xf numFmtId="0" fontId="0" fillId="6" borderId="69" xfId="0" applyFill="1" applyBorder="1"/>
    <xf numFmtId="10" fontId="0" fillId="6" borderId="69" xfId="1" applyNumberFormat="1" applyFont="1" applyFill="1" applyBorder="1"/>
    <xf numFmtId="0" fontId="0" fillId="6" borderId="0" xfId="0" applyFill="1"/>
    <xf numFmtId="10" fontId="0" fillId="6" borderId="0" xfId="1" applyNumberFormat="1" applyFont="1" applyFill="1" applyBorder="1"/>
    <xf numFmtId="0" fontId="0" fillId="6" borderId="72" xfId="0" applyFill="1" applyBorder="1"/>
    <xf numFmtId="10" fontId="0" fillId="6" borderId="72" xfId="1" applyNumberFormat="1" applyFont="1" applyFill="1" applyBorder="1"/>
    <xf numFmtId="3" fontId="0" fillId="7" borderId="25" xfId="0" applyNumberFormat="1" applyFill="1" applyBorder="1" applyAlignment="1">
      <alignment horizontal="center" vertical="center"/>
    </xf>
    <xf numFmtId="3" fontId="15" fillId="7" borderId="3" xfId="0" applyNumberFormat="1" applyFont="1" applyFill="1" applyBorder="1" applyAlignment="1">
      <alignment horizontal="center" vertical="center"/>
    </xf>
    <xf numFmtId="3" fontId="5" fillId="7" borderId="3" xfId="0" applyNumberFormat="1" applyFont="1" applyFill="1" applyBorder="1" applyAlignment="1">
      <alignment horizontal="center" vertical="center"/>
    </xf>
    <xf numFmtId="10" fontId="0" fillId="7" borderId="3" xfId="1" applyNumberFormat="1" applyFont="1" applyFill="1" applyBorder="1"/>
    <xf numFmtId="3" fontId="14" fillId="7" borderId="3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3" fontId="0" fillId="7" borderId="19" xfId="0" applyNumberFormat="1" applyFill="1" applyBorder="1" applyAlignment="1">
      <alignment horizontal="center" vertical="center"/>
    </xf>
    <xf numFmtId="3" fontId="5" fillId="7" borderId="58" xfId="0" applyNumberFormat="1" applyFont="1" applyFill="1" applyBorder="1" applyAlignment="1">
      <alignment horizontal="center" vertical="center"/>
    </xf>
    <xf numFmtId="3" fontId="0" fillId="7" borderId="67" xfId="0" applyNumberFormat="1" applyFill="1" applyBorder="1" applyAlignment="1">
      <alignment horizontal="center" vertical="center"/>
    </xf>
    <xf numFmtId="3" fontId="0" fillId="7" borderId="70" xfId="0" applyNumberFormat="1" applyFill="1" applyBorder="1" applyAlignment="1">
      <alignment horizontal="center" vertical="center"/>
    </xf>
    <xf numFmtId="3" fontId="0" fillId="7" borderId="38" xfId="0" applyNumberFormat="1" applyFill="1" applyBorder="1" applyAlignment="1">
      <alignment horizontal="center" vertical="center"/>
    </xf>
    <xf numFmtId="169" fontId="0" fillId="7" borderId="38" xfId="0" applyNumberFormat="1" applyFill="1" applyBorder="1" applyAlignment="1">
      <alignment horizontal="center" vertical="center"/>
    </xf>
    <xf numFmtId="165" fontId="0" fillId="7" borderId="38" xfId="0" applyNumberFormat="1" applyFill="1" applyBorder="1" applyAlignment="1">
      <alignment horizontal="center" vertical="center"/>
    </xf>
    <xf numFmtId="169" fontId="0" fillId="7" borderId="73" xfId="0" applyNumberFormat="1" applyFill="1" applyBorder="1" applyAlignment="1">
      <alignment horizontal="center" vertical="center"/>
    </xf>
    <xf numFmtId="0" fontId="0" fillId="7" borderId="69" xfId="0" applyFill="1" applyBorder="1"/>
    <xf numFmtId="10" fontId="0" fillId="7" borderId="69" xfId="1" applyNumberFormat="1" applyFont="1" applyFill="1" applyBorder="1"/>
    <xf numFmtId="0" fontId="0" fillId="7" borderId="0" xfId="0" applyFill="1"/>
    <xf numFmtId="10" fontId="0" fillId="7" borderId="0" xfId="1" applyNumberFormat="1" applyFont="1" applyFill="1" applyBorder="1"/>
    <xf numFmtId="0" fontId="0" fillId="7" borderId="72" xfId="0" applyFill="1" applyBorder="1"/>
    <xf numFmtId="10" fontId="0" fillId="7" borderId="72" xfId="1" applyNumberFormat="1" applyFont="1" applyFill="1" applyBorder="1"/>
    <xf numFmtId="3" fontId="0" fillId="8" borderId="25" xfId="0" applyNumberFormat="1" applyFill="1" applyBorder="1" applyAlignment="1">
      <alignment horizontal="center" vertical="center"/>
    </xf>
    <xf numFmtId="3" fontId="15" fillId="8" borderId="3" xfId="0" applyNumberFormat="1" applyFont="1" applyFill="1" applyBorder="1" applyAlignment="1">
      <alignment horizontal="center" vertical="center"/>
    </xf>
    <xf numFmtId="3" fontId="5" fillId="8" borderId="3" xfId="0" applyNumberFormat="1" applyFont="1" applyFill="1" applyBorder="1" applyAlignment="1">
      <alignment horizontal="center" vertical="center"/>
    </xf>
    <xf numFmtId="10" fontId="0" fillId="8" borderId="3" xfId="1" applyNumberFormat="1" applyFont="1" applyFill="1" applyBorder="1"/>
    <xf numFmtId="3" fontId="14" fillId="8" borderId="3" xfId="0" applyNumberFormat="1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3" fontId="0" fillId="8" borderId="3" xfId="0" applyNumberFormat="1" applyFill="1" applyBorder="1" applyAlignment="1">
      <alignment horizontal="center" vertical="center"/>
    </xf>
    <xf numFmtId="3" fontId="0" fillId="8" borderId="19" xfId="0" applyNumberFormat="1" applyFill="1" applyBorder="1" applyAlignment="1">
      <alignment horizontal="center" vertical="center"/>
    </xf>
    <xf numFmtId="3" fontId="5" fillId="8" borderId="58" xfId="0" applyNumberFormat="1" applyFont="1" applyFill="1" applyBorder="1" applyAlignment="1">
      <alignment horizontal="center" vertical="center"/>
    </xf>
    <xf numFmtId="3" fontId="0" fillId="8" borderId="67" xfId="0" applyNumberFormat="1" applyFill="1" applyBorder="1" applyAlignment="1">
      <alignment horizontal="center" vertical="center"/>
    </xf>
    <xf numFmtId="3" fontId="0" fillId="8" borderId="70" xfId="0" applyNumberFormat="1" applyFill="1" applyBorder="1" applyAlignment="1">
      <alignment horizontal="center" vertical="center"/>
    </xf>
    <xf numFmtId="3" fontId="0" fillId="8" borderId="38" xfId="0" applyNumberFormat="1" applyFill="1" applyBorder="1" applyAlignment="1">
      <alignment horizontal="center" vertical="center"/>
    </xf>
    <xf numFmtId="169" fontId="0" fillId="8" borderId="38" xfId="0" applyNumberFormat="1" applyFill="1" applyBorder="1" applyAlignment="1">
      <alignment horizontal="center" vertical="center"/>
    </xf>
    <xf numFmtId="165" fontId="0" fillId="8" borderId="38" xfId="0" applyNumberFormat="1" applyFill="1" applyBorder="1" applyAlignment="1">
      <alignment horizontal="center" vertical="center"/>
    </xf>
    <xf numFmtId="170" fontId="0" fillId="8" borderId="73" xfId="0" applyNumberFormat="1" applyFill="1" applyBorder="1" applyAlignment="1">
      <alignment horizontal="center" vertical="center"/>
    </xf>
    <xf numFmtId="0" fontId="0" fillId="8" borderId="69" xfId="0" applyFill="1" applyBorder="1"/>
    <xf numFmtId="10" fontId="0" fillId="8" borderId="69" xfId="1" applyNumberFormat="1" applyFont="1" applyFill="1" applyBorder="1"/>
    <xf numFmtId="0" fontId="0" fillId="8" borderId="0" xfId="0" applyFill="1"/>
    <xf numFmtId="10" fontId="0" fillId="8" borderId="0" xfId="1" applyNumberFormat="1" applyFont="1" applyFill="1" applyBorder="1"/>
    <xf numFmtId="0" fontId="0" fillId="8" borderId="72" xfId="0" applyFill="1" applyBorder="1"/>
    <xf numFmtId="10" fontId="0" fillId="8" borderId="72" xfId="1" applyNumberFormat="1" applyFont="1" applyFill="1" applyBorder="1"/>
    <xf numFmtId="3" fontId="0" fillId="9" borderId="25" xfId="0" applyNumberFormat="1" applyFill="1" applyBorder="1" applyAlignment="1">
      <alignment horizontal="center" vertical="center"/>
    </xf>
    <xf numFmtId="3" fontId="15" fillId="9" borderId="3" xfId="0" applyNumberFormat="1" applyFont="1" applyFill="1" applyBorder="1" applyAlignment="1">
      <alignment horizontal="center" vertical="center"/>
    </xf>
    <xf numFmtId="3" fontId="5" fillId="9" borderId="3" xfId="0" applyNumberFormat="1" applyFont="1" applyFill="1" applyBorder="1" applyAlignment="1">
      <alignment horizontal="center" vertical="center"/>
    </xf>
    <xf numFmtId="10" fontId="0" fillId="9" borderId="3" xfId="1" applyNumberFormat="1" applyFont="1" applyFill="1" applyBorder="1"/>
    <xf numFmtId="3" fontId="14" fillId="9" borderId="3" xfId="0" applyNumberFormat="1" applyFont="1" applyFill="1" applyBorder="1" applyAlignment="1">
      <alignment horizontal="center" vertical="center"/>
    </xf>
    <xf numFmtId="3" fontId="4" fillId="9" borderId="3" xfId="0" applyNumberFormat="1" applyFont="1" applyFill="1" applyBorder="1" applyAlignment="1">
      <alignment horizontal="center" vertical="center"/>
    </xf>
    <xf numFmtId="3" fontId="0" fillId="9" borderId="3" xfId="0" applyNumberFormat="1" applyFill="1" applyBorder="1" applyAlignment="1">
      <alignment horizontal="center" vertical="center"/>
    </xf>
    <xf numFmtId="3" fontId="0" fillId="9" borderId="19" xfId="0" applyNumberFormat="1" applyFill="1" applyBorder="1" applyAlignment="1">
      <alignment horizontal="center" vertical="center"/>
    </xf>
    <xf numFmtId="3" fontId="5" fillId="9" borderId="58" xfId="0" applyNumberFormat="1" applyFont="1" applyFill="1" applyBorder="1" applyAlignment="1">
      <alignment horizontal="center" vertical="center"/>
    </xf>
    <xf numFmtId="3" fontId="0" fillId="9" borderId="67" xfId="0" applyNumberFormat="1" applyFill="1" applyBorder="1" applyAlignment="1">
      <alignment horizontal="center" vertical="center"/>
    </xf>
    <xf numFmtId="0" fontId="0" fillId="9" borderId="69" xfId="0" applyFill="1" applyBorder="1"/>
    <xf numFmtId="10" fontId="0" fillId="9" borderId="69" xfId="1" applyNumberFormat="1" applyFont="1" applyFill="1" applyBorder="1"/>
    <xf numFmtId="0" fontId="0" fillId="9" borderId="0" xfId="0" applyFill="1"/>
    <xf numFmtId="10" fontId="0" fillId="9" borderId="0" xfId="1" applyNumberFormat="1" applyFont="1" applyFill="1" applyBorder="1"/>
    <xf numFmtId="0" fontId="0" fillId="9" borderId="72" xfId="0" applyFill="1" applyBorder="1"/>
    <xf numFmtId="10" fontId="0" fillId="9" borderId="72" xfId="1" applyNumberFormat="1" applyFont="1" applyFill="1" applyBorder="1"/>
    <xf numFmtId="3" fontId="0" fillId="10" borderId="57" xfId="0" applyNumberFormat="1" applyFill="1" applyBorder="1" applyAlignment="1">
      <alignment horizontal="center" vertical="center"/>
    </xf>
    <xf numFmtId="3" fontId="15" fillId="10" borderId="53" xfId="0" applyNumberFormat="1" applyFont="1" applyFill="1" applyBorder="1" applyAlignment="1">
      <alignment horizontal="center" vertical="center"/>
    </xf>
    <xf numFmtId="3" fontId="5" fillId="10" borderId="53" xfId="0" applyNumberFormat="1" applyFont="1" applyFill="1" applyBorder="1" applyAlignment="1">
      <alignment horizontal="center" vertical="center"/>
    </xf>
    <xf numFmtId="10" fontId="0" fillId="10" borderId="53" xfId="1" applyNumberFormat="1" applyFont="1" applyFill="1" applyBorder="1"/>
    <xf numFmtId="3" fontId="14" fillId="10" borderId="53" xfId="0" applyNumberFormat="1" applyFont="1" applyFill="1" applyBorder="1" applyAlignment="1">
      <alignment horizontal="center" vertical="center"/>
    </xf>
    <xf numFmtId="3" fontId="4" fillId="10" borderId="53" xfId="0" applyNumberFormat="1" applyFont="1" applyFill="1" applyBorder="1" applyAlignment="1">
      <alignment horizontal="center" vertical="center"/>
    </xf>
    <xf numFmtId="3" fontId="0" fillId="10" borderId="53" xfId="0" applyNumberFormat="1" applyFill="1" applyBorder="1" applyAlignment="1">
      <alignment horizontal="center" vertical="center"/>
    </xf>
    <xf numFmtId="3" fontId="29" fillId="10" borderId="35" xfId="0" applyNumberFormat="1" applyFont="1" applyFill="1" applyBorder="1" applyAlignment="1">
      <alignment horizontal="center" vertical="center"/>
    </xf>
    <xf numFmtId="0" fontId="0" fillId="10" borderId="69" xfId="0" applyFill="1" applyBorder="1"/>
    <xf numFmtId="0" fontId="0" fillId="10" borderId="0" xfId="0" applyFill="1"/>
    <xf numFmtId="0" fontId="0" fillId="10" borderId="72" xfId="0" applyFill="1" applyBorder="1"/>
    <xf numFmtId="10" fontId="0" fillId="10" borderId="69" xfId="1" applyNumberFormat="1" applyFont="1" applyFill="1" applyBorder="1"/>
    <xf numFmtId="10" fontId="0" fillId="10" borderId="72" xfId="1" applyNumberFormat="1" applyFont="1" applyFill="1" applyBorder="1"/>
    <xf numFmtId="3" fontId="0" fillId="5" borderId="33" xfId="0" applyNumberFormat="1" applyFill="1" applyBorder="1" applyAlignment="1">
      <alignment horizontal="center" vertical="center"/>
    </xf>
    <xf numFmtId="3" fontId="15" fillId="5" borderId="24" xfId="0" applyNumberFormat="1" applyFont="1" applyFill="1" applyBorder="1" applyAlignment="1">
      <alignment horizontal="center" vertical="center"/>
    </xf>
    <xf numFmtId="3" fontId="5" fillId="5" borderId="24" xfId="0" applyNumberFormat="1" applyFont="1" applyFill="1" applyBorder="1" applyAlignment="1">
      <alignment horizontal="center" vertical="center"/>
    </xf>
    <xf numFmtId="10" fontId="0" fillId="5" borderId="24" xfId="1" applyNumberFormat="1" applyFont="1" applyFill="1" applyBorder="1"/>
    <xf numFmtId="3" fontId="14" fillId="5" borderId="24" xfId="0" applyNumberFormat="1" applyFont="1" applyFill="1" applyBorder="1" applyAlignment="1">
      <alignment horizontal="center" vertical="center"/>
    </xf>
    <xf numFmtId="3" fontId="4" fillId="5" borderId="24" xfId="0" applyNumberFormat="1" applyFont="1" applyFill="1" applyBorder="1" applyAlignment="1">
      <alignment horizontal="center" vertical="center"/>
    </xf>
    <xf numFmtId="3" fontId="16" fillId="5" borderId="24" xfId="0" applyNumberFormat="1" applyFont="1" applyFill="1" applyBorder="1" applyAlignment="1">
      <alignment horizontal="center" vertical="center"/>
    </xf>
    <xf numFmtId="3" fontId="6" fillId="5" borderId="24" xfId="0" applyNumberFormat="1" applyFont="1" applyFill="1" applyBorder="1" applyAlignment="1">
      <alignment horizontal="center" vertical="center"/>
    </xf>
    <xf numFmtId="3" fontId="14" fillId="5" borderId="59" xfId="0" applyNumberFormat="1" applyFont="1" applyFill="1" applyBorder="1" applyAlignment="1">
      <alignment horizontal="center" vertical="center"/>
    </xf>
    <xf numFmtId="3" fontId="15" fillId="5" borderId="58" xfId="0" applyNumberFormat="1" applyFont="1" applyFill="1" applyBorder="1" applyAlignment="1">
      <alignment horizontal="center" vertical="center"/>
    </xf>
    <xf numFmtId="3" fontId="14" fillId="5" borderId="67" xfId="0" applyNumberFormat="1" applyFont="1" applyFill="1" applyBorder="1" applyAlignment="1">
      <alignment horizontal="center" vertical="center"/>
    </xf>
    <xf numFmtId="0" fontId="0" fillId="5" borderId="69" xfId="0" applyFill="1" applyBorder="1"/>
    <xf numFmtId="0" fontId="0" fillId="5" borderId="0" xfId="0" applyFill="1"/>
    <xf numFmtId="0" fontId="0" fillId="5" borderId="72" xfId="0" applyFill="1" applyBorder="1"/>
    <xf numFmtId="0" fontId="0" fillId="5" borderId="62" xfId="0" applyFill="1" applyBorder="1"/>
    <xf numFmtId="0" fontId="0" fillId="5" borderId="64" xfId="0" applyFill="1" applyBorder="1"/>
    <xf numFmtId="0" fontId="0" fillId="5" borderId="66" xfId="0" applyFill="1" applyBorder="1"/>
    <xf numFmtId="2" fontId="0" fillId="10" borderId="74" xfId="1" applyNumberFormat="1" applyFont="1" applyFill="1" applyBorder="1" applyAlignment="1">
      <alignment horizontal="center" vertical="center"/>
    </xf>
    <xf numFmtId="2" fontId="0" fillId="10" borderId="75" xfId="1" applyNumberFormat="1" applyFont="1" applyFill="1" applyBorder="1" applyAlignment="1">
      <alignment horizontal="center" vertical="center"/>
    </xf>
    <xf numFmtId="3" fontId="15" fillId="10" borderId="76" xfId="0" applyNumberFormat="1" applyFont="1" applyFill="1" applyBorder="1" applyAlignment="1">
      <alignment horizontal="center" vertical="center"/>
    </xf>
    <xf numFmtId="3" fontId="29" fillId="10" borderId="61" xfId="0" applyNumberFormat="1" applyFont="1" applyFill="1" applyBorder="1" applyAlignment="1">
      <alignment horizontal="center" vertical="center"/>
    </xf>
    <xf numFmtId="3" fontId="10" fillId="3" borderId="18" xfId="0" applyNumberFormat="1" applyFont="1" applyFill="1" applyBorder="1"/>
    <xf numFmtId="3" fontId="10" fillId="3" borderId="25" xfId="0" applyNumberFormat="1" applyFont="1" applyFill="1" applyBorder="1"/>
    <xf numFmtId="3" fontId="10" fillId="3" borderId="8" xfId="0" applyNumberFormat="1" applyFont="1" applyFill="1" applyBorder="1"/>
    <xf numFmtId="3" fontId="10" fillId="3" borderId="33" xfId="0" applyNumberFormat="1" applyFont="1" applyFill="1" applyBorder="1"/>
    <xf numFmtId="4" fontId="1" fillId="3" borderId="33" xfId="0" applyNumberFormat="1" applyFont="1" applyFill="1" applyBorder="1"/>
    <xf numFmtId="3" fontId="11" fillId="3" borderId="3" xfId="0" applyNumberFormat="1" applyFont="1" applyFill="1" applyBorder="1"/>
    <xf numFmtId="3" fontId="11" fillId="3" borderId="53" xfId="0" applyNumberFormat="1" applyFont="1" applyFill="1" applyBorder="1"/>
    <xf numFmtId="3" fontId="11" fillId="3" borderId="24" xfId="0" applyNumberFormat="1" applyFont="1" applyFill="1" applyBorder="1"/>
    <xf numFmtId="4" fontId="0" fillId="3" borderId="24" xfId="0" applyNumberFormat="1" applyFill="1" applyBorder="1"/>
    <xf numFmtId="3" fontId="31" fillId="3" borderId="33" xfId="0" applyNumberFormat="1" applyFont="1" applyFill="1" applyBorder="1"/>
    <xf numFmtId="3" fontId="10" fillId="3" borderId="24" xfId="0" applyNumberFormat="1" applyFont="1" applyFill="1" applyBorder="1"/>
    <xf numFmtId="3" fontId="10" fillId="3" borderId="1" xfId="0" applyNumberFormat="1" applyFont="1" applyFill="1" applyBorder="1"/>
    <xf numFmtId="3" fontId="10" fillId="3" borderId="7" xfId="0" applyNumberFormat="1" applyFont="1" applyFill="1" applyBorder="1"/>
    <xf numFmtId="4" fontId="17" fillId="3" borderId="24" xfId="0" applyNumberFormat="1" applyFont="1" applyFill="1" applyBorder="1"/>
    <xf numFmtId="3" fontId="10" fillId="3" borderId="3" xfId="0" applyNumberFormat="1" applyFont="1" applyFill="1" applyBorder="1"/>
    <xf numFmtId="3" fontId="10" fillId="3" borderId="53" xfId="0" applyNumberFormat="1" applyFont="1" applyFill="1" applyBorder="1"/>
    <xf numFmtId="3" fontId="9" fillId="4" borderId="1" xfId="0" applyNumberFormat="1" applyFont="1" applyFill="1" applyBorder="1" applyAlignment="1">
      <alignment horizontal="left" vertical="center"/>
    </xf>
    <xf numFmtId="0" fontId="3" fillId="0" borderId="58" xfId="0" applyFont="1" applyBorder="1"/>
    <xf numFmtId="0" fontId="4" fillId="0" borderId="58" xfId="0" applyFont="1" applyBorder="1"/>
    <xf numFmtId="0" fontId="3" fillId="0" borderId="16" xfId="0" applyFont="1" applyBorder="1"/>
    <xf numFmtId="0" fontId="3" fillId="0" borderId="13" xfId="0" applyFont="1" applyBorder="1"/>
    <xf numFmtId="0" fontId="0" fillId="0" borderId="77" xfId="0" applyBorder="1"/>
    <xf numFmtId="3" fontId="0" fillId="0" borderId="77" xfId="0" applyNumberFormat="1" applyBorder="1"/>
    <xf numFmtId="3" fontId="0" fillId="0" borderId="58" xfId="0" applyNumberFormat="1" applyBorder="1"/>
    <xf numFmtId="4" fontId="0" fillId="0" borderId="78" xfId="0" applyNumberFormat="1" applyBorder="1"/>
    <xf numFmtId="4" fontId="15" fillId="2" borderId="29" xfId="0" applyNumberFormat="1" applyFont="1" applyFill="1" applyBorder="1"/>
    <xf numFmtId="4" fontId="5" fillId="2" borderId="29" xfId="0" applyNumberFormat="1" applyFont="1" applyFill="1" applyBorder="1"/>
    <xf numFmtId="9" fontId="0" fillId="0" borderId="29" xfId="1" applyFont="1" applyBorder="1"/>
    <xf numFmtId="4" fontId="14" fillId="0" borderId="29" xfId="0" applyNumberFormat="1" applyFont="1" applyBorder="1"/>
    <xf numFmtId="4" fontId="14" fillId="3" borderId="29" xfId="0" applyNumberFormat="1" applyFont="1" applyFill="1" applyBorder="1"/>
    <xf numFmtId="4" fontId="4" fillId="3" borderId="29" xfId="0" applyNumberFormat="1" applyFont="1" applyFill="1" applyBorder="1"/>
    <xf numFmtId="4" fontId="0" fillId="3" borderId="29" xfId="0" applyNumberFormat="1" applyFill="1" applyBorder="1"/>
    <xf numFmtId="4" fontId="4" fillId="0" borderId="29" xfId="0" applyNumberFormat="1" applyFont="1" applyBorder="1"/>
    <xf numFmtId="4" fontId="29" fillId="3" borderId="29" xfId="0" applyNumberFormat="1" applyFont="1" applyFill="1" applyBorder="1"/>
    <xf numFmtId="4" fontId="8" fillId="2" borderId="29" xfId="0" applyNumberFormat="1" applyFont="1" applyFill="1" applyBorder="1"/>
    <xf numFmtId="4" fontId="4" fillId="3" borderId="31" xfId="0" applyNumberFormat="1" applyFont="1" applyFill="1" applyBorder="1"/>
    <xf numFmtId="4" fontId="0" fillId="3" borderId="31" xfId="0" applyNumberFormat="1" applyFill="1" applyBorder="1"/>
    <xf numFmtId="4" fontId="0" fillId="3" borderId="39" xfId="0" applyNumberFormat="1" applyFill="1" applyBorder="1"/>
    <xf numFmtId="169" fontId="4" fillId="3" borderId="39" xfId="0" applyNumberFormat="1" applyFont="1" applyFill="1" applyBorder="1"/>
    <xf numFmtId="4" fontId="14" fillId="3" borderId="39" xfId="0" applyNumberFormat="1" applyFont="1" applyFill="1" applyBorder="1"/>
    <xf numFmtId="169" fontId="4" fillId="3" borderId="79" xfId="0" applyNumberFormat="1" applyFont="1" applyFill="1" applyBorder="1"/>
    <xf numFmtId="3" fontId="9" fillId="4" borderId="28" xfId="0" applyNumberFormat="1" applyFont="1" applyFill="1" applyBorder="1" applyAlignment="1">
      <alignment horizontal="left" vertical="center"/>
    </xf>
    <xf numFmtId="3" fontId="11" fillId="0" borderId="29" xfId="0" applyNumberFormat="1" applyFont="1" applyBorder="1" applyAlignment="1">
      <alignment horizontal="left" vertical="center"/>
    </xf>
    <xf numFmtId="3" fontId="9" fillId="4" borderId="29" xfId="0" applyNumberFormat="1" applyFont="1" applyFill="1" applyBorder="1" applyAlignment="1">
      <alignment horizontal="left" vertical="center"/>
    </xf>
    <xf numFmtId="3" fontId="11" fillId="0" borderId="31" xfId="0" applyNumberFormat="1" applyFont="1" applyBorder="1" applyAlignment="1">
      <alignment horizontal="left" vertical="center"/>
    </xf>
    <xf numFmtId="3" fontId="11" fillId="0" borderId="28" xfId="0" applyNumberFormat="1" applyFont="1" applyBorder="1" applyAlignment="1">
      <alignment horizontal="left" vertical="center"/>
    </xf>
    <xf numFmtId="3" fontId="13" fillId="4" borderId="1" xfId="0" applyNumberFormat="1" applyFont="1" applyFill="1" applyBorder="1" applyAlignment="1">
      <alignment horizontal="left" vertical="center"/>
    </xf>
    <xf numFmtId="3" fontId="9" fillId="4" borderId="21" xfId="0" applyNumberFormat="1" applyFont="1" applyFill="1" applyBorder="1" applyAlignment="1">
      <alignment horizontal="left" vertical="center"/>
    </xf>
    <xf numFmtId="3" fontId="11" fillId="0" borderId="18" xfId="0" applyNumberFormat="1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left" vertical="center"/>
    </xf>
    <xf numFmtId="3" fontId="9" fillId="4" borderId="3" xfId="0" applyNumberFormat="1" applyFont="1" applyFill="1" applyBorder="1" applyAlignment="1">
      <alignment horizontal="left" vertical="center"/>
    </xf>
    <xf numFmtId="3" fontId="5" fillId="2" borderId="58" xfId="0" applyNumberFormat="1" applyFont="1" applyFill="1" applyBorder="1"/>
    <xf numFmtId="3" fontId="0" fillId="3" borderId="58" xfId="0" applyNumberFormat="1" applyFill="1" applyBorder="1"/>
    <xf numFmtId="3" fontId="9" fillId="4" borderId="12" xfId="0" applyNumberFormat="1" applyFont="1" applyFill="1" applyBorder="1" applyAlignment="1">
      <alignment horizontal="left" vertical="center"/>
    </xf>
    <xf numFmtId="3" fontId="15" fillId="2" borderId="58" xfId="0" applyNumberFormat="1" applyFont="1" applyFill="1" applyBorder="1"/>
    <xf numFmtId="3" fontId="7" fillId="2" borderId="58" xfId="0" applyNumberFormat="1" applyFont="1" applyFill="1" applyBorder="1"/>
    <xf numFmtId="0" fontId="5" fillId="0" borderId="81" xfId="0" applyFont="1" applyBorder="1"/>
    <xf numFmtId="3" fontId="0" fillId="0" borderId="82" xfId="0" applyNumberFormat="1" applyBorder="1"/>
    <xf numFmtId="0" fontId="0" fillId="3" borderId="83" xfId="0" applyFill="1" applyBorder="1"/>
    <xf numFmtId="0" fontId="0" fillId="3" borderId="67" xfId="0" applyFill="1" applyBorder="1"/>
    <xf numFmtId="2" fontId="10" fillId="13" borderId="1" xfId="0" applyNumberFormat="1" applyFont="1" applyFill="1" applyBorder="1" applyAlignment="1">
      <alignment horizontal="center" vertical="center"/>
    </xf>
    <xf numFmtId="10" fontId="10" fillId="13" borderId="1" xfId="0" applyNumberFormat="1" applyFont="1" applyFill="1" applyBorder="1" applyAlignment="1">
      <alignment horizontal="center" vertical="center"/>
    </xf>
    <xf numFmtId="10" fontId="10" fillId="13" borderId="28" xfId="0" applyNumberFormat="1" applyFont="1" applyFill="1" applyBorder="1" applyAlignment="1">
      <alignment horizontal="center" vertical="center"/>
    </xf>
    <xf numFmtId="1" fontId="10" fillId="13" borderId="1" xfId="0" applyNumberFormat="1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3" fontId="10" fillId="13" borderId="1" xfId="0" applyNumberFormat="1" applyFont="1" applyFill="1" applyBorder="1" applyAlignment="1">
      <alignment horizontal="right" vertical="center"/>
    </xf>
    <xf numFmtId="3" fontId="10" fillId="13" borderId="28" xfId="0" applyNumberFormat="1" applyFont="1" applyFill="1" applyBorder="1" applyAlignment="1">
      <alignment horizontal="right" vertical="center"/>
    </xf>
    <xf numFmtId="3" fontId="11" fillId="13" borderId="29" xfId="0" applyNumberFormat="1" applyFont="1" applyFill="1" applyBorder="1" applyAlignment="1">
      <alignment horizontal="right" vertical="center"/>
    </xf>
    <xf numFmtId="0" fontId="11" fillId="13" borderId="29" xfId="0" applyFont="1" applyFill="1" applyBorder="1" applyAlignment="1">
      <alignment horizontal="right" vertical="center"/>
    </xf>
    <xf numFmtId="3" fontId="10" fillId="13" borderId="29" xfId="0" applyNumberFormat="1" applyFont="1" applyFill="1" applyBorder="1" applyAlignment="1">
      <alignment horizontal="right" vertical="center"/>
    </xf>
    <xf numFmtId="3" fontId="11" fillId="13" borderId="31" xfId="0" applyNumberFormat="1" applyFont="1" applyFill="1" applyBorder="1" applyAlignment="1">
      <alignment horizontal="right" vertical="center"/>
    </xf>
    <xf numFmtId="3" fontId="10" fillId="13" borderId="12" xfId="0" applyNumberFormat="1" applyFont="1" applyFill="1" applyBorder="1" applyAlignment="1">
      <alignment horizontal="right" vertical="center"/>
    </xf>
    <xf numFmtId="3" fontId="11" fillId="13" borderId="28" xfId="0" applyNumberFormat="1" applyFont="1" applyFill="1" applyBorder="1" applyAlignment="1">
      <alignment horizontal="right" vertical="center"/>
    </xf>
    <xf numFmtId="3" fontId="31" fillId="13" borderId="1" xfId="0" applyNumberFormat="1" applyFont="1" applyFill="1" applyBorder="1" applyAlignment="1">
      <alignment horizontal="right" vertical="center"/>
    </xf>
    <xf numFmtId="3" fontId="10" fillId="13" borderId="21" xfId="0" applyNumberFormat="1" applyFont="1" applyFill="1" applyBorder="1" applyAlignment="1">
      <alignment horizontal="right" vertical="center"/>
    </xf>
    <xf numFmtId="3" fontId="11" fillId="13" borderId="18" xfId="0" applyNumberFormat="1" applyFont="1" applyFill="1" applyBorder="1" applyAlignment="1">
      <alignment horizontal="right" vertical="center"/>
    </xf>
    <xf numFmtId="3" fontId="11" fillId="13" borderId="3" xfId="0" applyNumberFormat="1" applyFont="1" applyFill="1" applyBorder="1" applyAlignment="1">
      <alignment horizontal="right" vertical="center"/>
    </xf>
    <xf numFmtId="0" fontId="11" fillId="13" borderId="3" xfId="0" applyFont="1" applyFill="1" applyBorder="1" applyAlignment="1">
      <alignment horizontal="right" vertical="center"/>
    </xf>
    <xf numFmtId="3" fontId="10" fillId="13" borderId="3" xfId="0" applyNumberFormat="1" applyFont="1" applyFill="1" applyBorder="1" applyAlignment="1">
      <alignment horizontal="right" vertical="center"/>
    </xf>
    <xf numFmtId="3" fontId="11" fillId="13" borderId="3" xfId="0" applyNumberFormat="1" applyFont="1" applyFill="1" applyBorder="1" applyAlignment="1">
      <alignment horizontal="right"/>
    </xf>
    <xf numFmtId="0" fontId="11" fillId="13" borderId="3" xfId="0" applyFont="1" applyFill="1" applyBorder="1" applyAlignment="1">
      <alignment horizontal="right"/>
    </xf>
    <xf numFmtId="0" fontId="11" fillId="13" borderId="19" xfId="0" applyFont="1" applyFill="1" applyBorder="1" applyAlignment="1">
      <alignment horizontal="right"/>
    </xf>
    <xf numFmtId="164" fontId="32" fillId="13" borderId="1" xfId="0" applyNumberFormat="1" applyFont="1" applyFill="1" applyBorder="1" applyAlignment="1">
      <alignment horizontal="right"/>
    </xf>
    <xf numFmtId="0" fontId="5" fillId="2" borderId="76" xfId="0" applyFont="1" applyFill="1" applyBorder="1"/>
    <xf numFmtId="0" fontId="0" fillId="3" borderId="76" xfId="0" applyFill="1" applyBorder="1"/>
    <xf numFmtId="0" fontId="5" fillId="12" borderId="34" xfId="0" applyFont="1" applyFill="1" applyBorder="1" applyAlignment="1">
      <alignment horizontal="center" vertical="center"/>
    </xf>
    <xf numFmtId="4" fontId="0" fillId="12" borderId="78" xfId="0" applyNumberFormat="1" applyFill="1" applyBorder="1"/>
    <xf numFmtId="4" fontId="15" fillId="12" borderId="29" xfId="0" applyNumberFormat="1" applyFont="1" applyFill="1" applyBorder="1"/>
    <xf numFmtId="4" fontId="5" fillId="12" borderId="29" xfId="0" applyNumberFormat="1" applyFont="1" applyFill="1" applyBorder="1"/>
    <xf numFmtId="9" fontId="0" fillId="12" borderId="29" xfId="1" applyFont="1" applyFill="1" applyBorder="1"/>
    <xf numFmtId="4" fontId="14" fillId="12" borderId="29" xfId="0" applyNumberFormat="1" applyFont="1" applyFill="1" applyBorder="1"/>
    <xf numFmtId="4" fontId="4" fillId="12" borderId="29" xfId="0" applyNumberFormat="1" applyFont="1" applyFill="1" applyBorder="1"/>
    <xf numFmtId="4" fontId="0" fillId="12" borderId="29" xfId="0" applyNumberFormat="1" applyFill="1" applyBorder="1"/>
    <xf numFmtId="4" fontId="29" fillId="12" borderId="29" xfId="0" applyNumberFormat="1" applyFont="1" applyFill="1" applyBorder="1"/>
    <xf numFmtId="4" fontId="4" fillId="12" borderId="31" xfId="0" applyNumberFormat="1" applyFont="1" applyFill="1" applyBorder="1"/>
    <xf numFmtId="4" fontId="8" fillId="12" borderId="77" xfId="0" applyNumberFormat="1" applyFont="1" applyFill="1" applyBorder="1"/>
    <xf numFmtId="4" fontId="4" fillId="12" borderId="62" xfId="0" applyNumberFormat="1" applyFont="1" applyFill="1" applyBorder="1"/>
    <xf numFmtId="4" fontId="0" fillId="12" borderId="69" xfId="0" applyNumberFormat="1" applyFill="1" applyBorder="1"/>
    <xf numFmtId="4" fontId="0" fillId="12" borderId="0" xfId="0" applyNumberFormat="1" applyFill="1"/>
    <xf numFmtId="169" fontId="4" fillId="12" borderId="0" xfId="0" applyNumberFormat="1" applyFont="1" applyFill="1"/>
    <xf numFmtId="4" fontId="14" fillId="12" borderId="0" xfId="0" applyNumberFormat="1" applyFont="1" applyFill="1"/>
    <xf numFmtId="169" fontId="4" fillId="12" borderId="72" xfId="0" applyNumberFormat="1" applyFont="1" applyFill="1" applyBorder="1"/>
    <xf numFmtId="0" fontId="0" fillId="13" borderId="58" xfId="0" applyFill="1" applyBorder="1"/>
    <xf numFmtId="2" fontId="0" fillId="13" borderId="58" xfId="0" applyNumberFormat="1" applyFill="1" applyBorder="1" applyAlignment="1">
      <alignment horizontal="center" vertical="center"/>
    </xf>
    <xf numFmtId="2" fontId="0" fillId="13" borderId="67" xfId="0" applyNumberFormat="1" applyFill="1" applyBorder="1" applyAlignment="1">
      <alignment horizontal="center" vertical="center"/>
    </xf>
    <xf numFmtId="10" fontId="0" fillId="13" borderId="77" xfId="0" applyNumberFormat="1" applyFill="1" applyBorder="1" applyAlignment="1">
      <alignment horizontal="center" vertical="center"/>
    </xf>
    <xf numFmtId="10" fontId="1" fillId="13" borderId="77" xfId="0" applyNumberFormat="1" applyFont="1" applyFill="1" applyBorder="1" applyAlignment="1">
      <alignment horizontal="center" vertical="center"/>
    </xf>
    <xf numFmtId="0" fontId="0" fillId="13" borderId="69" xfId="0" applyFill="1" applyBorder="1" applyAlignment="1">
      <alignment horizontal="center" vertical="center"/>
    </xf>
    <xf numFmtId="0" fontId="0" fillId="13" borderId="62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64" xfId="0" applyFill="1" applyBorder="1" applyAlignment="1">
      <alignment horizontal="center" vertical="center"/>
    </xf>
    <xf numFmtId="0" fontId="0" fillId="13" borderId="66" xfId="0" applyFill="1" applyBorder="1" applyAlignment="1">
      <alignment horizontal="center" vertical="center"/>
    </xf>
    <xf numFmtId="3" fontId="0" fillId="13" borderId="82" xfId="0" applyNumberFormat="1" applyFill="1" applyBorder="1"/>
    <xf numFmtId="3" fontId="15" fillId="13" borderId="58" xfId="0" applyNumberFormat="1" applyFont="1" applyFill="1" applyBorder="1"/>
    <xf numFmtId="3" fontId="5" fillId="13" borderId="58" xfId="0" applyNumberFormat="1" applyFont="1" applyFill="1" applyBorder="1"/>
    <xf numFmtId="9" fontId="0" fillId="13" borderId="29" xfId="1" applyFont="1" applyFill="1" applyBorder="1"/>
    <xf numFmtId="3" fontId="0" fillId="13" borderId="58" xfId="0" applyNumberFormat="1" applyFill="1" applyBorder="1"/>
    <xf numFmtId="3" fontId="7" fillId="13" borderId="58" xfId="0" applyNumberFormat="1" applyFont="1" applyFill="1" applyBorder="1"/>
    <xf numFmtId="3" fontId="0" fillId="13" borderId="67" xfId="0" applyNumberFormat="1" applyFill="1" applyBorder="1"/>
    <xf numFmtId="0" fontId="0" fillId="13" borderId="67" xfId="0" applyFill="1" applyBorder="1"/>
    <xf numFmtId="0" fontId="0" fillId="13" borderId="86" xfId="0" applyFill="1" applyBorder="1"/>
    <xf numFmtId="0" fontId="5" fillId="13" borderId="58" xfId="0" applyFont="1" applyFill="1" applyBorder="1" applyAlignment="1">
      <alignment horizontal="center" vertical="center"/>
    </xf>
    <xf numFmtId="0" fontId="5" fillId="13" borderId="77" xfId="0" applyFont="1" applyFill="1" applyBorder="1" applyAlignment="1">
      <alignment horizontal="center" vertical="center"/>
    </xf>
    <xf numFmtId="0" fontId="5" fillId="13" borderId="58" xfId="0" applyFont="1" applyFill="1" applyBorder="1" applyAlignment="1">
      <alignment horizontal="center"/>
    </xf>
    <xf numFmtId="0" fontId="0" fillId="13" borderId="72" xfId="0" applyFill="1" applyBorder="1" applyAlignment="1">
      <alignment horizontal="center" vertical="center"/>
    </xf>
    <xf numFmtId="0" fontId="0" fillId="13" borderId="86" xfId="0" applyFill="1" applyBorder="1" applyAlignment="1">
      <alignment horizontal="right"/>
    </xf>
    <xf numFmtId="0" fontId="0" fillId="13" borderId="82" xfId="0" applyFill="1" applyBorder="1" applyAlignment="1">
      <alignment horizontal="right"/>
    </xf>
    <xf numFmtId="1" fontId="0" fillId="0" borderId="33" xfId="2" applyNumberFormat="1" applyFont="1" applyBorder="1" applyAlignment="1">
      <alignment horizontal="center"/>
    </xf>
    <xf numFmtId="44" fontId="0" fillId="0" borderId="33" xfId="2" applyFont="1" applyBorder="1" applyAlignment="1">
      <alignment horizontal="center"/>
    </xf>
    <xf numFmtId="0" fontId="0" fillId="3" borderId="58" xfId="2" applyNumberFormat="1" applyFont="1" applyFill="1" applyBorder="1" applyAlignment="1">
      <alignment horizontal="center"/>
    </xf>
    <xf numFmtId="0" fontId="0" fillId="0" borderId="24" xfId="2" applyNumberFormat="1" applyFont="1" applyBorder="1"/>
    <xf numFmtId="164" fontId="17" fillId="0" borderId="11" xfId="2" applyNumberFormat="1" applyFont="1" applyBorder="1"/>
    <xf numFmtId="2" fontId="1" fillId="0" borderId="11" xfId="1" applyNumberFormat="1" applyFont="1" applyBorder="1" applyAlignment="1">
      <alignment horizontal="center" vertical="center"/>
    </xf>
    <xf numFmtId="2" fontId="14" fillId="0" borderId="11" xfId="1" applyNumberFormat="1" applyFont="1" applyBorder="1" applyAlignment="1">
      <alignment horizontal="center" vertical="center"/>
    </xf>
    <xf numFmtId="3" fontId="0" fillId="0" borderId="24" xfId="0" applyNumberFormat="1" applyBorder="1" applyAlignment="1">
      <alignment wrapText="1"/>
    </xf>
    <xf numFmtId="3" fontId="0" fillId="0" borderId="24" xfId="0" applyNumberFormat="1" applyBorder="1"/>
    <xf numFmtId="10" fontId="1" fillId="0" borderId="24" xfId="1" applyNumberFormat="1" applyFont="1" applyBorder="1" applyAlignment="1">
      <alignment horizontal="center" vertical="center"/>
    </xf>
    <xf numFmtId="3" fontId="10" fillId="3" borderId="28" xfId="0" applyNumberFormat="1" applyFont="1" applyFill="1" applyBorder="1" applyAlignment="1">
      <alignment horizontal="left" vertical="center"/>
    </xf>
    <xf numFmtId="3" fontId="10" fillId="3" borderId="21" xfId="0" applyNumberFormat="1" applyFont="1" applyFill="1" applyBorder="1" applyAlignment="1">
      <alignment horizontal="left" vertical="center"/>
    </xf>
    <xf numFmtId="3" fontId="10" fillId="3" borderId="21" xfId="0" applyNumberFormat="1" applyFont="1" applyFill="1" applyBorder="1" applyAlignment="1">
      <alignment horizontal="left"/>
    </xf>
    <xf numFmtId="3" fontId="31" fillId="3" borderId="1" xfId="0" applyNumberFormat="1" applyFont="1" applyFill="1" applyBorder="1" applyAlignment="1">
      <alignment horizontal="left" vertical="center"/>
    </xf>
    <xf numFmtId="3" fontId="10" fillId="3" borderId="3" xfId="0" applyNumberFormat="1" applyFont="1" applyFill="1" applyBorder="1" applyAlignment="1">
      <alignment horizontal="left" vertical="center"/>
    </xf>
    <xf numFmtId="3" fontId="10" fillId="3" borderId="29" xfId="0" applyNumberFormat="1" applyFont="1" applyFill="1" applyBorder="1" applyAlignment="1">
      <alignment horizontal="left" vertical="center"/>
    </xf>
    <xf numFmtId="3" fontId="1" fillId="3" borderId="58" xfId="0" applyNumberFormat="1" applyFont="1" applyFill="1" applyBorder="1"/>
    <xf numFmtId="3" fontId="10" fillId="3" borderId="1" xfId="0" applyNumberFormat="1" applyFont="1" applyFill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left" vertical="center"/>
    </xf>
    <xf numFmtId="44" fontId="0" fillId="3" borderId="58" xfId="2" applyFont="1" applyFill="1" applyBorder="1" applyAlignment="1">
      <alignment horizontal="right" wrapText="1"/>
    </xf>
    <xf numFmtId="3" fontId="3" fillId="2" borderId="58" xfId="0" applyNumberFormat="1" applyFont="1" applyFill="1" applyBorder="1"/>
    <xf numFmtId="3" fontId="4" fillId="0" borderId="58" xfId="0" applyNumberFormat="1" applyFont="1" applyBorder="1"/>
    <xf numFmtId="3" fontId="3" fillId="2" borderId="77" xfId="0" applyNumberFormat="1" applyFont="1" applyFill="1" applyBorder="1"/>
    <xf numFmtId="3" fontId="29" fillId="3" borderId="77" xfId="0" applyNumberFormat="1" applyFont="1" applyFill="1" applyBorder="1"/>
    <xf numFmtId="3" fontId="29" fillId="0" borderId="58" xfId="0" applyNumberFormat="1" applyFont="1" applyBorder="1"/>
    <xf numFmtId="3" fontId="29" fillId="2" borderId="77" xfId="0" applyNumberFormat="1" applyFont="1" applyFill="1" applyBorder="1"/>
    <xf numFmtId="3" fontId="29" fillId="0" borderId="77" xfId="0" applyNumberFormat="1" applyFont="1" applyBorder="1"/>
    <xf numFmtId="0" fontId="29" fillId="0" borderId="77" xfId="0" applyFont="1" applyBorder="1"/>
    <xf numFmtId="3" fontId="14" fillId="0" borderId="58" xfId="0" applyNumberFormat="1" applyFont="1" applyBorder="1"/>
    <xf numFmtId="0" fontId="3" fillId="2" borderId="77" xfId="0" applyFont="1" applyFill="1" applyBorder="1"/>
    <xf numFmtId="3" fontId="34" fillId="2" borderId="77" xfId="0" applyNumberFormat="1" applyFont="1" applyFill="1" applyBorder="1"/>
    <xf numFmtId="3" fontId="34" fillId="5" borderId="58" xfId="0" applyNumberFormat="1" applyFont="1" applyFill="1" applyBorder="1"/>
    <xf numFmtId="3" fontId="34" fillId="2" borderId="58" xfId="0" applyNumberFormat="1" applyFont="1" applyFill="1" applyBorder="1"/>
    <xf numFmtId="0" fontId="3" fillId="0" borderId="16" xfId="0" applyFon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5" borderId="16" xfId="0" applyNumberForma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3" fillId="15" borderId="24" xfId="0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166" fontId="3" fillId="12" borderId="24" xfId="0" applyNumberFormat="1" applyFont="1" applyFill="1" applyBorder="1" applyAlignment="1">
      <alignment horizontal="center" vertical="center"/>
    </xf>
    <xf numFmtId="172" fontId="0" fillId="12" borderId="24" xfId="0" applyNumberFormat="1" applyFill="1" applyBorder="1" applyAlignment="1">
      <alignment horizontal="center" vertical="center"/>
    </xf>
    <xf numFmtId="171" fontId="0" fillId="12" borderId="24" xfId="0" applyNumberFormat="1" applyFill="1" applyBorder="1" applyAlignment="1">
      <alignment horizontal="center" vertical="center"/>
    </xf>
    <xf numFmtId="166" fontId="0" fillId="12" borderId="24" xfId="0" applyNumberFormat="1" applyFill="1" applyBorder="1" applyAlignment="1">
      <alignment horizontal="center" vertical="center"/>
    </xf>
    <xf numFmtId="166" fontId="18" fillId="12" borderId="24" xfId="0" applyNumberFormat="1" applyFont="1" applyFill="1" applyBorder="1" applyAlignment="1">
      <alignment horizontal="center" vertical="center"/>
    </xf>
    <xf numFmtId="0" fontId="3" fillId="16" borderId="24" xfId="0" applyFont="1" applyFill="1" applyBorder="1" applyAlignment="1">
      <alignment horizontal="center" vertical="center"/>
    </xf>
    <xf numFmtId="166" fontId="3" fillId="16" borderId="24" xfId="0" applyNumberFormat="1" applyFont="1" applyFill="1" applyBorder="1" applyAlignment="1">
      <alignment horizontal="center" vertical="center"/>
    </xf>
    <xf numFmtId="172" fontId="0" fillId="16" borderId="24" xfId="0" applyNumberFormat="1" applyFill="1" applyBorder="1" applyAlignment="1">
      <alignment horizontal="center" vertical="center"/>
    </xf>
    <xf numFmtId="171" fontId="0" fillId="16" borderId="24" xfId="0" applyNumberFormat="1" applyFill="1" applyBorder="1" applyAlignment="1">
      <alignment horizontal="center" vertical="center"/>
    </xf>
    <xf numFmtId="166" fontId="0" fillId="16" borderId="24" xfId="0" applyNumberFormat="1" applyFill="1" applyBorder="1" applyAlignment="1">
      <alignment horizontal="center" vertical="center"/>
    </xf>
    <xf numFmtId="166" fontId="18" fillId="16" borderId="24" xfId="0" applyNumberFormat="1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horizontal="center" vertical="center"/>
    </xf>
    <xf numFmtId="166" fontId="3" fillId="13" borderId="24" xfId="0" applyNumberFormat="1" applyFont="1" applyFill="1" applyBorder="1" applyAlignment="1">
      <alignment horizontal="center" vertical="center"/>
    </xf>
    <xf numFmtId="172" fontId="0" fillId="13" borderId="24" xfId="0" applyNumberFormat="1" applyFill="1" applyBorder="1" applyAlignment="1">
      <alignment horizontal="center" vertical="center"/>
    </xf>
    <xf numFmtId="171" fontId="0" fillId="13" borderId="24" xfId="0" applyNumberFormat="1" applyFill="1" applyBorder="1" applyAlignment="1">
      <alignment horizontal="center" vertical="center"/>
    </xf>
    <xf numFmtId="166" fontId="0" fillId="13" borderId="24" xfId="0" applyNumberFormat="1" applyFill="1" applyBorder="1" applyAlignment="1">
      <alignment horizontal="center" vertical="center"/>
    </xf>
    <xf numFmtId="166" fontId="18" fillId="13" borderId="24" xfId="0" applyNumberFormat="1" applyFont="1" applyFill="1" applyBorder="1" applyAlignment="1">
      <alignment horizontal="center" vertical="center"/>
    </xf>
    <xf numFmtId="0" fontId="3" fillId="17" borderId="24" xfId="0" applyFont="1" applyFill="1" applyBorder="1" applyAlignment="1">
      <alignment horizontal="center" vertical="center"/>
    </xf>
    <xf numFmtId="166" fontId="3" fillId="17" borderId="24" xfId="0" applyNumberFormat="1" applyFont="1" applyFill="1" applyBorder="1" applyAlignment="1">
      <alignment horizontal="center" vertical="center"/>
    </xf>
    <xf numFmtId="172" fontId="0" fillId="17" borderId="24" xfId="0" applyNumberFormat="1" applyFill="1" applyBorder="1" applyAlignment="1">
      <alignment horizontal="center" vertical="center"/>
    </xf>
    <xf numFmtId="171" fontId="0" fillId="17" borderId="24" xfId="0" applyNumberFormat="1" applyFill="1" applyBorder="1" applyAlignment="1">
      <alignment horizontal="center" vertical="center"/>
    </xf>
    <xf numFmtId="166" fontId="0" fillId="17" borderId="24" xfId="0" applyNumberFormat="1" applyFill="1" applyBorder="1" applyAlignment="1">
      <alignment horizontal="center" vertical="center"/>
    </xf>
    <xf numFmtId="166" fontId="18" fillId="17" borderId="24" xfId="0" applyNumberFormat="1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3" fillId="14" borderId="58" xfId="0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3" fontId="3" fillId="2" borderId="58" xfId="0" applyNumberFormat="1" applyFont="1" applyFill="1" applyBorder="1" applyAlignment="1">
      <alignment horizontal="center" vertical="center"/>
    </xf>
    <xf numFmtId="165" fontId="0" fillId="2" borderId="66" xfId="0" applyNumberFormat="1" applyFill="1" applyBorder="1" applyAlignment="1">
      <alignment horizontal="center" vertical="center"/>
    </xf>
    <xf numFmtId="10" fontId="0" fillId="2" borderId="66" xfId="0" applyNumberFormat="1" applyFill="1" applyBorder="1" applyAlignment="1">
      <alignment horizontal="center" vertical="center"/>
    </xf>
    <xf numFmtId="3" fontId="3" fillId="14" borderId="87" xfId="0" applyNumberFormat="1" applyFont="1" applyFill="1" applyBorder="1" applyAlignment="1">
      <alignment horizontal="center" vertical="center"/>
    </xf>
    <xf numFmtId="165" fontId="0" fillId="14" borderId="58" xfId="0" applyNumberFormat="1" applyFill="1" applyBorder="1" applyAlignment="1">
      <alignment horizontal="center" vertical="center"/>
    </xf>
    <xf numFmtId="171" fontId="0" fillId="14" borderId="58" xfId="0" applyNumberFormat="1" applyFill="1" applyBorder="1" applyAlignment="1">
      <alignment horizontal="center" vertical="center"/>
    </xf>
    <xf numFmtId="166" fontId="21" fillId="15" borderId="12" xfId="0" applyNumberFormat="1" applyFont="1" applyFill="1" applyBorder="1" applyAlignment="1">
      <alignment horizontal="center" vertical="center" wrapText="1"/>
    </xf>
    <xf numFmtId="172" fontId="35" fillId="15" borderId="12" xfId="0" applyNumberFormat="1" applyFont="1" applyFill="1" applyBorder="1" applyAlignment="1">
      <alignment horizontal="center" vertical="center" wrapText="1"/>
    </xf>
    <xf numFmtId="171" fontId="35" fillId="15" borderId="12" xfId="0" applyNumberFormat="1" applyFont="1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171" fontId="0" fillId="0" borderId="5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2" borderId="58" xfId="0" applyNumberFormat="1" applyFill="1" applyBorder="1" applyAlignment="1">
      <alignment horizontal="center" vertical="center"/>
    </xf>
    <xf numFmtId="3" fontId="0" fillId="14" borderId="87" xfId="0" applyNumberFormat="1" applyFill="1" applyBorder="1" applyAlignment="1">
      <alignment horizontal="center" vertical="center"/>
    </xf>
    <xf numFmtId="166" fontId="0" fillId="15" borderId="12" xfId="0" applyNumberFormat="1" applyFill="1" applyBorder="1" applyAlignment="1">
      <alignment horizontal="center" vertical="center" wrapText="1"/>
    </xf>
    <xf numFmtId="3" fontId="29" fillId="2" borderId="58" xfId="0" applyNumberFormat="1" applyFont="1" applyFill="1" applyBorder="1" applyAlignment="1">
      <alignment horizontal="center" vertical="center"/>
    </xf>
    <xf numFmtId="3" fontId="29" fillId="14" borderId="87" xfId="0" applyNumberFormat="1" applyFont="1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14" borderId="87" xfId="0" applyFill="1" applyBorder="1" applyAlignment="1">
      <alignment horizontal="center" vertical="center"/>
    </xf>
    <xf numFmtId="0" fontId="29" fillId="14" borderId="8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3" fontId="15" fillId="2" borderId="58" xfId="0" applyNumberFormat="1" applyFont="1" applyFill="1" applyBorder="1" applyAlignment="1">
      <alignment horizontal="center" vertical="center"/>
    </xf>
    <xf numFmtId="3" fontId="34" fillId="14" borderId="87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3" fontId="14" fillId="2" borderId="58" xfId="0" applyNumberFormat="1" applyFont="1" applyFill="1" applyBorder="1" applyAlignment="1">
      <alignment horizontal="center" vertical="center"/>
    </xf>
    <xf numFmtId="3" fontId="4" fillId="2" borderId="58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3" fontId="34" fillId="2" borderId="58" xfId="0" applyNumberFormat="1" applyFont="1" applyFill="1" applyBorder="1" applyAlignment="1">
      <alignment horizontal="center" vertical="center"/>
    </xf>
    <xf numFmtId="0" fontId="3" fillId="14" borderId="87" xfId="0" applyFont="1" applyFill="1" applyBorder="1" applyAlignment="1">
      <alignment horizontal="center" vertical="center"/>
    </xf>
    <xf numFmtId="166" fontId="3" fillId="15" borderId="12" xfId="0" applyNumberFormat="1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80" xfId="0" applyBorder="1" applyAlignment="1">
      <alignment horizontal="center" wrapText="1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3" fillId="5" borderId="17" xfId="0" applyFont="1" applyFill="1" applyBorder="1" applyAlignment="1">
      <alignment horizontal="center" vertical="center"/>
    </xf>
    <xf numFmtId="0" fontId="23" fillId="5" borderId="23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0" fillId="0" borderId="84" xfId="0" applyBorder="1" applyAlignment="1">
      <alignment horizontal="center" wrapText="1"/>
    </xf>
    <xf numFmtId="0" fontId="0" fillId="0" borderId="85" xfId="0" applyBorder="1" applyAlignment="1">
      <alignment horizontal="center" wrapText="1"/>
    </xf>
    <xf numFmtId="164" fontId="3" fillId="5" borderId="17" xfId="2" applyNumberFormat="1" applyFont="1" applyFill="1" applyBorder="1" applyAlignment="1">
      <alignment horizontal="center"/>
    </xf>
    <xf numFmtId="164" fontId="3" fillId="5" borderId="13" xfId="2" applyNumberFormat="1" applyFont="1" applyFill="1" applyBorder="1" applyAlignment="1">
      <alignment horizontal="center"/>
    </xf>
  </cellXfs>
  <cellStyles count="5">
    <cellStyle name="Hiperlink" xfId="3" builtinId="8"/>
    <cellStyle name="Moeda" xfId="2" builtinId="4"/>
    <cellStyle name="Moeda 2" xfId="4" xr:uid="{263D10AC-9259-4050-A207-1ACB0EFA40D7}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na Portugal" id="{E01EDD03-4446-4D0B-9C31-2566FF307C6D}" userId="38bdc7a88db3458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6" dT="2023-11-09T00:01:29.22" personId="{E01EDD03-4446-4D0B-9C31-2566FF307C6D}" id="{8D53CC1E-7839-4861-9CBF-A0D969346B9A}">
    <text>Retirei os dados do site investsite !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4D2D-A9E1-4D05-B02D-098D052E9AF1}">
  <dimension ref="A3:J84"/>
  <sheetViews>
    <sheetView tabSelected="1" zoomScale="74" workbookViewId="0">
      <pane xSplit="2" topLeftCell="C1" activePane="topRight" state="frozen"/>
      <selection pane="topRight" activeCell="C57" sqref="C57"/>
    </sheetView>
  </sheetViews>
  <sheetFormatPr defaultColWidth="8.7109375" defaultRowHeight="15"/>
  <cols>
    <col min="1" max="1" width="40.85546875" bestFit="1" customWidth="1"/>
    <col min="2" max="2" width="76.140625" bestFit="1" customWidth="1"/>
    <col min="3" max="3" width="13.28515625" bestFit="1" customWidth="1"/>
    <col min="4" max="9" width="15" bestFit="1" customWidth="1"/>
    <col min="10" max="10" width="13.7109375" bestFit="1" customWidth="1"/>
  </cols>
  <sheetData>
    <row r="3" spans="1:10">
      <c r="A3" t="s">
        <v>0</v>
      </c>
    </row>
    <row r="4" spans="1:10">
      <c r="A4" s="5" t="s">
        <v>1</v>
      </c>
      <c r="B4" s="5" t="s">
        <v>2</v>
      </c>
      <c r="C4" s="5">
        <v>2024</v>
      </c>
      <c r="D4" s="6">
        <v>2023</v>
      </c>
      <c r="E4" s="6">
        <v>2022</v>
      </c>
      <c r="F4" s="6">
        <v>2021</v>
      </c>
      <c r="G4" s="6">
        <v>2020</v>
      </c>
      <c r="H4" s="123">
        <v>2019</v>
      </c>
      <c r="I4" s="140">
        <v>2018</v>
      </c>
      <c r="J4" s="141">
        <v>2017</v>
      </c>
    </row>
    <row r="5" spans="1:10">
      <c r="A5" s="7">
        <v>1</v>
      </c>
      <c r="B5" s="8" t="s">
        <v>3</v>
      </c>
      <c r="C5" s="576">
        <v>4466987</v>
      </c>
      <c r="D5" s="9">
        <v>4581833</v>
      </c>
      <c r="E5" s="9">
        <v>4199825</v>
      </c>
      <c r="F5" s="9">
        <v>3754136</v>
      </c>
      <c r="G5" s="9">
        <v>2824635</v>
      </c>
      <c r="H5" s="124">
        <v>1945403</v>
      </c>
      <c r="I5" s="138">
        <v>1789529</v>
      </c>
      <c r="J5" s="139">
        <v>1733859</v>
      </c>
    </row>
    <row r="6" spans="1:10">
      <c r="A6" s="10" t="s">
        <v>4</v>
      </c>
      <c r="B6" s="11" t="s">
        <v>5</v>
      </c>
      <c r="C6" s="601">
        <v>2967747</v>
      </c>
      <c r="D6" s="12">
        <v>3575173</v>
      </c>
      <c r="E6" s="12">
        <v>3430062</v>
      </c>
      <c r="F6" s="13">
        <v>3120040</v>
      </c>
      <c r="G6" s="12">
        <v>2211237</v>
      </c>
      <c r="H6" s="125">
        <v>1471763</v>
      </c>
      <c r="I6" s="137">
        <v>1418740</v>
      </c>
      <c r="J6" s="277">
        <v>1411332</v>
      </c>
    </row>
    <row r="7" spans="1:10">
      <c r="A7" s="14" t="s">
        <v>6</v>
      </c>
      <c r="B7" s="15" t="s">
        <v>7</v>
      </c>
      <c r="C7" s="602">
        <v>566929</v>
      </c>
      <c r="D7" s="16">
        <v>591375</v>
      </c>
      <c r="E7" s="16">
        <v>426576</v>
      </c>
      <c r="F7" s="16">
        <v>359007</v>
      </c>
      <c r="G7" s="16">
        <v>544162</v>
      </c>
      <c r="H7" s="126">
        <v>460714</v>
      </c>
      <c r="I7" s="132">
        <v>393348</v>
      </c>
      <c r="J7" s="133">
        <v>387826</v>
      </c>
    </row>
    <row r="8" spans="1:10">
      <c r="A8" s="14" t="s">
        <v>8</v>
      </c>
      <c r="B8" s="15" t="s">
        <v>9</v>
      </c>
      <c r="C8" s="15">
        <v>0</v>
      </c>
      <c r="D8" s="16">
        <v>0</v>
      </c>
      <c r="E8" s="16">
        <v>0</v>
      </c>
      <c r="F8" s="16">
        <v>0</v>
      </c>
      <c r="G8" s="16">
        <v>0</v>
      </c>
      <c r="H8" s="126">
        <v>0</v>
      </c>
      <c r="I8" s="132">
        <v>0</v>
      </c>
      <c r="J8" s="133">
        <v>0</v>
      </c>
    </row>
    <row r="9" spans="1:10">
      <c r="A9" s="14" t="s">
        <v>10</v>
      </c>
      <c r="B9" s="15" t="s">
        <v>11</v>
      </c>
      <c r="C9" s="602">
        <v>860937</v>
      </c>
      <c r="D9" s="16">
        <v>1326360</v>
      </c>
      <c r="E9" s="16">
        <v>1132483</v>
      </c>
      <c r="F9" s="16">
        <v>762625</v>
      </c>
      <c r="G9" s="16">
        <v>698044</v>
      </c>
      <c r="H9" s="126">
        <v>258642</v>
      </c>
      <c r="I9" s="132">
        <v>235282</v>
      </c>
      <c r="J9" s="133">
        <v>276246</v>
      </c>
    </row>
    <row r="10" spans="1:10">
      <c r="A10" s="14" t="s">
        <v>12</v>
      </c>
      <c r="B10" s="15" t="s">
        <v>13</v>
      </c>
      <c r="C10" s="602">
        <v>1096246</v>
      </c>
      <c r="D10" s="16">
        <v>1256483</v>
      </c>
      <c r="E10" s="16">
        <v>1390723</v>
      </c>
      <c r="F10" s="16">
        <v>1690347</v>
      </c>
      <c r="G10" s="16">
        <v>645750</v>
      </c>
      <c r="H10" s="126">
        <v>494422</v>
      </c>
      <c r="I10" s="132">
        <v>534726</v>
      </c>
      <c r="J10" s="133">
        <v>506539</v>
      </c>
    </row>
    <row r="11" spans="1:10">
      <c r="A11" s="14" t="s">
        <v>14</v>
      </c>
      <c r="B11" s="15" t="s">
        <v>15</v>
      </c>
      <c r="C11" s="602">
        <v>301400</v>
      </c>
      <c r="D11" s="16">
        <v>304370</v>
      </c>
      <c r="E11" s="16">
        <v>361523</v>
      </c>
      <c r="F11" s="16">
        <v>176025</v>
      </c>
      <c r="G11" s="16">
        <v>221036</v>
      </c>
      <c r="H11" s="126">
        <v>124615</v>
      </c>
      <c r="I11" s="132">
        <v>129445</v>
      </c>
      <c r="J11" s="133">
        <v>142158</v>
      </c>
    </row>
    <row r="12" spans="1:10">
      <c r="A12" s="14" t="s">
        <v>16</v>
      </c>
      <c r="B12" s="15" t="s">
        <v>17</v>
      </c>
      <c r="C12" s="602">
        <v>301400</v>
      </c>
      <c r="D12" s="16">
        <v>304370</v>
      </c>
      <c r="E12" s="16">
        <v>361523</v>
      </c>
      <c r="F12" s="16">
        <v>176025</v>
      </c>
      <c r="G12" s="16">
        <v>221036</v>
      </c>
      <c r="H12" s="126">
        <v>124615</v>
      </c>
      <c r="I12" s="132">
        <v>129445</v>
      </c>
      <c r="J12" s="133">
        <v>0</v>
      </c>
    </row>
    <row r="13" spans="1:10">
      <c r="A13" s="14" t="s">
        <v>18</v>
      </c>
      <c r="B13" s="15" t="s">
        <v>15</v>
      </c>
      <c r="C13" s="602">
        <v>200109</v>
      </c>
      <c r="D13" s="16">
        <v>210811</v>
      </c>
      <c r="E13" s="16">
        <v>309169</v>
      </c>
      <c r="F13" s="16">
        <v>157222</v>
      </c>
      <c r="G13" s="16">
        <v>183356</v>
      </c>
      <c r="H13" s="126">
        <v>87826</v>
      </c>
      <c r="I13" s="132">
        <v>101769</v>
      </c>
      <c r="J13" s="133">
        <v>0</v>
      </c>
    </row>
    <row r="14" spans="1:10">
      <c r="A14" s="14" t="s">
        <v>19</v>
      </c>
      <c r="B14" s="15" t="s">
        <v>20</v>
      </c>
      <c r="C14" s="602">
        <v>101291</v>
      </c>
      <c r="D14" s="16">
        <v>0</v>
      </c>
      <c r="E14" s="16">
        <v>0</v>
      </c>
      <c r="F14" s="16">
        <v>0</v>
      </c>
      <c r="G14" s="16">
        <v>0</v>
      </c>
      <c r="H14" s="126">
        <v>0</v>
      </c>
      <c r="I14" s="132">
        <v>0</v>
      </c>
      <c r="J14" s="133">
        <v>0</v>
      </c>
    </row>
    <row r="15" spans="1:10">
      <c r="A15" s="14" t="s">
        <v>21</v>
      </c>
      <c r="B15" s="15" t="s">
        <v>22</v>
      </c>
      <c r="C15" s="602">
        <v>142235</v>
      </c>
      <c r="D15" s="16">
        <v>96585</v>
      </c>
      <c r="E15" s="16">
        <v>118748</v>
      </c>
      <c r="F15" s="16">
        <v>132036</v>
      </c>
      <c r="G15" s="16">
        <v>102245</v>
      </c>
      <c r="H15" s="126">
        <v>133370</v>
      </c>
      <c r="I15" s="132">
        <v>125939</v>
      </c>
      <c r="J15" s="133">
        <v>98563</v>
      </c>
    </row>
    <row r="16" spans="1:10">
      <c r="A16" s="14" t="s">
        <v>23</v>
      </c>
      <c r="B16" s="15" t="s">
        <v>24</v>
      </c>
      <c r="C16" s="602">
        <v>142235</v>
      </c>
      <c r="D16" s="16">
        <v>96585</v>
      </c>
      <c r="E16" s="16">
        <v>118748</v>
      </c>
      <c r="F16" s="16">
        <v>132036</v>
      </c>
      <c r="G16" s="16">
        <v>102245</v>
      </c>
      <c r="H16" s="126">
        <v>133370</v>
      </c>
      <c r="I16" s="132">
        <v>125939</v>
      </c>
      <c r="J16" s="133">
        <v>98563</v>
      </c>
    </row>
    <row r="17" spans="1:10">
      <c r="A17" s="14" t="s">
        <v>25</v>
      </c>
      <c r="B17" s="15" t="s">
        <v>26</v>
      </c>
      <c r="C17" s="602">
        <v>21658</v>
      </c>
      <c r="D17" s="16">
        <v>12382</v>
      </c>
      <c r="E17" s="16">
        <v>13997</v>
      </c>
      <c r="F17" s="16">
        <v>14502</v>
      </c>
      <c r="G17" s="16">
        <v>20410</v>
      </c>
      <c r="H17" s="126">
        <v>20378</v>
      </c>
      <c r="I17" s="132">
        <v>21103</v>
      </c>
      <c r="J17" s="133">
        <v>12383</v>
      </c>
    </row>
    <row r="18" spans="1:10">
      <c r="A18" s="14" t="s">
        <v>27</v>
      </c>
      <c r="B18" s="15" t="s">
        <v>28</v>
      </c>
      <c r="C18" s="602">
        <v>20037</v>
      </c>
      <c r="D18" s="16">
        <v>30680</v>
      </c>
      <c r="E18" s="16">
        <v>43088</v>
      </c>
      <c r="F18" s="16">
        <v>56823</v>
      </c>
      <c r="G18" s="16">
        <v>28608</v>
      </c>
      <c r="H18" s="126">
        <v>52457</v>
      </c>
      <c r="I18" s="132">
        <v>36349</v>
      </c>
      <c r="J18" s="133">
        <v>23752</v>
      </c>
    </row>
    <row r="19" spans="1:10">
      <c r="A19" s="17" t="s">
        <v>29</v>
      </c>
      <c r="B19" s="18" t="s">
        <v>30</v>
      </c>
      <c r="C19" s="603">
        <v>1499240</v>
      </c>
      <c r="D19" s="19">
        <v>1006660</v>
      </c>
      <c r="E19" s="19">
        <v>769763</v>
      </c>
      <c r="F19" s="19">
        <v>634096</v>
      </c>
      <c r="G19" s="19">
        <v>613398</v>
      </c>
      <c r="H19" s="127">
        <v>473640</v>
      </c>
      <c r="I19" s="24">
        <v>370789</v>
      </c>
      <c r="J19" s="134">
        <v>322527</v>
      </c>
    </row>
    <row r="20" spans="1:10">
      <c r="A20" s="14" t="s">
        <v>31</v>
      </c>
      <c r="B20" s="15" t="s">
        <v>32</v>
      </c>
      <c r="C20" s="602">
        <v>765802</v>
      </c>
      <c r="D20" s="16">
        <v>502346</v>
      </c>
      <c r="E20" s="16">
        <v>383872</v>
      </c>
      <c r="F20" s="16">
        <v>339982</v>
      </c>
      <c r="G20" s="16">
        <v>337585</v>
      </c>
      <c r="H20" s="126">
        <v>206351</v>
      </c>
      <c r="I20" s="132">
        <v>192540</v>
      </c>
      <c r="J20" s="133">
        <v>149661</v>
      </c>
    </row>
    <row r="21" spans="1:10">
      <c r="A21" s="14" t="s">
        <v>33</v>
      </c>
      <c r="B21" s="15" t="s">
        <v>34</v>
      </c>
      <c r="C21" s="15">
        <v>0</v>
      </c>
      <c r="D21" s="16">
        <v>0</v>
      </c>
      <c r="E21" s="16">
        <v>0</v>
      </c>
      <c r="F21" s="16">
        <v>0</v>
      </c>
      <c r="G21" s="16">
        <v>0</v>
      </c>
      <c r="H21" s="126">
        <v>0</v>
      </c>
      <c r="I21" s="132">
        <v>0</v>
      </c>
      <c r="J21" s="133">
        <v>0</v>
      </c>
    </row>
    <row r="22" spans="1:10">
      <c r="A22" s="14" t="s">
        <v>35</v>
      </c>
      <c r="B22" s="15" t="s">
        <v>11</v>
      </c>
      <c r="C22" s="602">
        <v>185092</v>
      </c>
      <c r="D22" s="16">
        <v>31972</v>
      </c>
      <c r="E22" s="16">
        <v>13573</v>
      </c>
      <c r="F22" s="16">
        <v>0</v>
      </c>
      <c r="G22" s="16">
        <v>0</v>
      </c>
      <c r="H22" s="126">
        <v>70</v>
      </c>
      <c r="I22" s="132">
        <v>28</v>
      </c>
      <c r="J22" s="133">
        <v>262</v>
      </c>
    </row>
    <row r="23" spans="1:10">
      <c r="A23" s="20" t="s">
        <v>36</v>
      </c>
      <c r="B23" s="15" t="s">
        <v>37</v>
      </c>
      <c r="C23" s="602">
        <v>1190</v>
      </c>
      <c r="D23" s="16">
        <v>2743</v>
      </c>
      <c r="E23" s="16">
        <v>1712</v>
      </c>
      <c r="F23" s="16">
        <v>624</v>
      </c>
      <c r="G23" s="16">
        <v>599</v>
      </c>
      <c r="H23" s="126">
        <v>60296</v>
      </c>
      <c r="I23" s="132">
        <v>64744</v>
      </c>
      <c r="J23" s="133">
        <v>66731</v>
      </c>
    </row>
    <row r="24" spans="1:10">
      <c r="A24" s="20" t="s">
        <v>38</v>
      </c>
      <c r="B24" s="15" t="s">
        <v>39</v>
      </c>
      <c r="C24" s="602">
        <v>579520</v>
      </c>
      <c r="D24" s="16">
        <v>467631</v>
      </c>
      <c r="E24" s="16">
        <v>368587</v>
      </c>
      <c r="F24" s="16">
        <v>339358</v>
      </c>
      <c r="G24" s="16">
        <v>336986</v>
      </c>
      <c r="H24" s="126">
        <v>145985</v>
      </c>
      <c r="I24" s="132">
        <v>127768</v>
      </c>
      <c r="J24" s="133">
        <v>82668</v>
      </c>
    </row>
    <row r="25" spans="1:10">
      <c r="A25" s="20" t="s">
        <v>40</v>
      </c>
      <c r="B25" s="15" t="s">
        <v>15</v>
      </c>
      <c r="C25" s="602">
        <v>501080</v>
      </c>
      <c r="D25" s="16">
        <v>457924</v>
      </c>
      <c r="E25" s="16">
        <v>298614</v>
      </c>
      <c r="F25" s="16">
        <v>275722</v>
      </c>
      <c r="G25" s="16">
        <v>275415</v>
      </c>
      <c r="H25" s="126">
        <v>86096</v>
      </c>
      <c r="I25" s="132">
        <v>75507</v>
      </c>
      <c r="J25" s="133">
        <v>75586</v>
      </c>
    </row>
    <row r="26" spans="1:10">
      <c r="A26" s="20" t="s">
        <v>41</v>
      </c>
      <c r="B26" s="15" t="s">
        <v>42</v>
      </c>
      <c r="C26" s="15">
        <v>2641</v>
      </c>
      <c r="D26" s="16">
        <v>9707</v>
      </c>
      <c r="E26" s="16">
        <v>69973</v>
      </c>
      <c r="F26" s="16">
        <v>63636</v>
      </c>
      <c r="G26" s="16">
        <v>61571</v>
      </c>
      <c r="H26" s="126">
        <v>59889</v>
      </c>
      <c r="I26" s="132">
        <v>52261</v>
      </c>
      <c r="J26" s="133">
        <v>7082</v>
      </c>
    </row>
    <row r="27" spans="1:10">
      <c r="A27" s="14" t="s">
        <v>43</v>
      </c>
      <c r="B27" s="21" t="s">
        <v>44</v>
      </c>
      <c r="C27" s="604">
        <v>35760</v>
      </c>
      <c r="D27" s="16">
        <v>0</v>
      </c>
      <c r="E27" s="16">
        <v>0</v>
      </c>
      <c r="F27" s="22">
        <v>0</v>
      </c>
      <c r="G27" s="16">
        <v>0</v>
      </c>
      <c r="H27" s="126">
        <v>0</v>
      </c>
      <c r="I27" s="132">
        <v>0</v>
      </c>
      <c r="J27" s="133">
        <v>0</v>
      </c>
    </row>
    <row r="28" spans="1:10">
      <c r="A28" s="17"/>
      <c r="B28" s="23" t="s">
        <v>45</v>
      </c>
      <c r="C28" s="613">
        <f>SUM(C29,C32,C35)</f>
        <v>733438</v>
      </c>
      <c r="D28" s="24">
        <f>SUM(D29,D32,D35)</f>
        <v>504314</v>
      </c>
      <c r="E28" s="24">
        <f t="shared" ref="D28:J28" si="0">SUM(E29,E32,E35)</f>
        <v>385891</v>
      </c>
      <c r="F28" s="24">
        <f t="shared" si="0"/>
        <v>294114</v>
      </c>
      <c r="G28" s="24">
        <f t="shared" si="0"/>
        <v>275813</v>
      </c>
      <c r="H28" s="128">
        <f t="shared" si="0"/>
        <v>267289</v>
      </c>
      <c r="I28" s="24">
        <f>SUM(I29,I32,I35)</f>
        <v>178249</v>
      </c>
      <c r="J28" s="24">
        <f>SUM(J29,J32,J35)</f>
        <v>172866</v>
      </c>
    </row>
    <row r="29" spans="1:10">
      <c r="A29" s="14" t="s">
        <v>46</v>
      </c>
      <c r="B29" s="25" t="s">
        <v>47</v>
      </c>
      <c r="C29" s="605">
        <v>256770</v>
      </c>
      <c r="D29" s="26">
        <v>226969</v>
      </c>
      <c r="E29" s="26">
        <v>164127</v>
      </c>
      <c r="F29" s="26">
        <v>114226</v>
      </c>
      <c r="G29" s="16">
        <v>91692</v>
      </c>
      <c r="H29" s="126">
        <v>73433</v>
      </c>
      <c r="I29" s="132">
        <v>48087</v>
      </c>
      <c r="J29" s="133">
        <v>53604</v>
      </c>
    </row>
    <row r="30" spans="1:10">
      <c r="A30" s="14" t="s">
        <v>48</v>
      </c>
      <c r="B30" s="15" t="s">
        <v>49</v>
      </c>
      <c r="C30" s="605">
        <v>256770</v>
      </c>
      <c r="D30" s="26">
        <v>226969</v>
      </c>
      <c r="E30" s="26">
        <v>164127</v>
      </c>
      <c r="F30" s="16">
        <v>114226</v>
      </c>
      <c r="G30" s="16">
        <v>91692</v>
      </c>
      <c r="H30" s="126">
        <v>73433</v>
      </c>
      <c r="I30" s="132">
        <v>48087</v>
      </c>
      <c r="J30" s="133">
        <v>53604</v>
      </c>
    </row>
    <row r="31" spans="1:10">
      <c r="A31" s="14" t="s">
        <v>50</v>
      </c>
      <c r="B31" s="15" t="s">
        <v>51</v>
      </c>
      <c r="C31" s="605">
        <v>136724</v>
      </c>
      <c r="D31" s="26">
        <v>226969</v>
      </c>
      <c r="E31" s="26">
        <v>131714</v>
      </c>
      <c r="F31" s="16">
        <v>76284</v>
      </c>
      <c r="G31" s="16">
        <v>53154</v>
      </c>
      <c r="H31" s="126">
        <v>27317</v>
      </c>
      <c r="I31" s="132">
        <v>8303</v>
      </c>
      <c r="J31" s="133">
        <v>0</v>
      </c>
    </row>
    <row r="32" spans="1:10">
      <c r="A32" s="14" t="s">
        <v>52</v>
      </c>
      <c r="B32" s="15" t="s">
        <v>53</v>
      </c>
      <c r="C32" s="602">
        <v>155481</v>
      </c>
      <c r="D32" s="16">
        <v>146818</v>
      </c>
      <c r="E32" s="16">
        <v>110987</v>
      </c>
      <c r="F32" s="16">
        <v>92894</v>
      </c>
      <c r="G32" s="16">
        <v>86298</v>
      </c>
      <c r="H32" s="126">
        <v>88718</v>
      </c>
      <c r="I32" s="132">
        <v>50746</v>
      </c>
      <c r="J32" s="133">
        <v>57092</v>
      </c>
    </row>
    <row r="33" spans="1:10">
      <c r="A33" s="14" t="s">
        <v>54</v>
      </c>
      <c r="B33" s="15" t="s">
        <v>55</v>
      </c>
      <c r="C33" s="602">
        <v>125036</v>
      </c>
      <c r="D33" s="16">
        <v>116974</v>
      </c>
      <c r="E33" s="16">
        <v>84915</v>
      </c>
      <c r="F33" s="16">
        <v>60279</v>
      </c>
      <c r="G33" s="16">
        <v>47700</v>
      </c>
      <c r="H33" s="126">
        <v>0</v>
      </c>
      <c r="I33" s="132">
        <v>0</v>
      </c>
      <c r="J33" s="133">
        <v>0</v>
      </c>
    </row>
    <row r="34" spans="1:10">
      <c r="A34" s="14" t="s">
        <v>56</v>
      </c>
      <c r="B34" s="15" t="s">
        <v>57</v>
      </c>
      <c r="C34" s="602">
        <v>30445</v>
      </c>
      <c r="D34" s="16">
        <v>29844</v>
      </c>
      <c r="E34" s="16">
        <v>26072</v>
      </c>
      <c r="F34" s="16">
        <v>32615</v>
      </c>
      <c r="G34" s="16">
        <v>38598</v>
      </c>
      <c r="H34" s="126">
        <v>41694</v>
      </c>
      <c r="I34" s="132">
        <v>0</v>
      </c>
      <c r="J34" s="133">
        <v>0</v>
      </c>
    </row>
    <row r="35" spans="1:10">
      <c r="A35" s="27" t="s">
        <v>58</v>
      </c>
      <c r="B35" s="21" t="s">
        <v>59</v>
      </c>
      <c r="C35" s="604">
        <v>321187</v>
      </c>
      <c r="D35" s="16">
        <v>130527</v>
      </c>
      <c r="E35" s="16">
        <v>110777</v>
      </c>
      <c r="F35" s="22">
        <v>86994</v>
      </c>
      <c r="G35" s="22">
        <v>97823</v>
      </c>
      <c r="H35" s="129">
        <v>105138</v>
      </c>
      <c r="I35" s="132">
        <v>79416</v>
      </c>
      <c r="J35" s="133">
        <v>62170</v>
      </c>
    </row>
    <row r="36" spans="1:10">
      <c r="A36" s="28">
        <v>2</v>
      </c>
      <c r="B36" s="28" t="s">
        <v>60</v>
      </c>
      <c r="C36" s="606">
        <v>4466987</v>
      </c>
      <c r="D36" s="9">
        <v>4581833</v>
      </c>
      <c r="E36" s="9">
        <v>4199825</v>
      </c>
      <c r="F36" s="29">
        <v>3754136</v>
      </c>
      <c r="G36" s="29">
        <v>2824635</v>
      </c>
      <c r="H36" s="130">
        <v>1945403</v>
      </c>
      <c r="I36" s="135">
        <v>1789529</v>
      </c>
      <c r="J36" s="134">
        <v>1733859</v>
      </c>
    </row>
    <row r="37" spans="1:10">
      <c r="A37" s="30" t="s">
        <v>61</v>
      </c>
      <c r="B37" s="31" t="s">
        <v>62</v>
      </c>
      <c r="C37" s="607">
        <v>1503102</v>
      </c>
      <c r="D37" s="32">
        <v>1934265</v>
      </c>
      <c r="E37" s="32">
        <v>1773213</v>
      </c>
      <c r="F37" s="12">
        <v>1937651</v>
      </c>
      <c r="G37" s="12">
        <v>1370932</v>
      </c>
      <c r="H37" s="125">
        <v>1178943</v>
      </c>
      <c r="I37" s="24">
        <v>1111886</v>
      </c>
      <c r="J37" s="134">
        <v>1090782</v>
      </c>
    </row>
    <row r="38" spans="1:10">
      <c r="A38" s="14" t="s">
        <v>63</v>
      </c>
      <c r="B38" s="14" t="s">
        <v>64</v>
      </c>
      <c r="C38" s="608">
        <v>105953</v>
      </c>
      <c r="D38" s="26">
        <v>80891</v>
      </c>
      <c r="E38" s="26">
        <v>42753</v>
      </c>
      <c r="F38" s="16">
        <v>38387</v>
      </c>
      <c r="G38" s="16">
        <v>33263</v>
      </c>
      <c r="H38" s="126">
        <v>20281</v>
      </c>
      <c r="I38" s="132">
        <v>18205</v>
      </c>
      <c r="J38" s="133">
        <v>20122</v>
      </c>
    </row>
    <row r="39" spans="1:10">
      <c r="A39" s="14" t="s">
        <v>65</v>
      </c>
      <c r="B39" s="14" t="s">
        <v>66</v>
      </c>
      <c r="C39" s="609">
        <v>658247</v>
      </c>
      <c r="D39" s="16">
        <v>832121</v>
      </c>
      <c r="E39" s="16">
        <v>594245</v>
      </c>
      <c r="F39" s="16">
        <v>1186214</v>
      </c>
      <c r="G39" s="16">
        <v>562210</v>
      </c>
      <c r="H39" s="126">
        <v>383964</v>
      </c>
      <c r="I39" s="132">
        <v>449260</v>
      </c>
      <c r="J39" s="133">
        <v>486141</v>
      </c>
    </row>
    <row r="40" spans="1:10">
      <c r="A40" s="14" t="s">
        <v>67</v>
      </c>
      <c r="B40" s="14" t="s">
        <v>68</v>
      </c>
      <c r="C40" s="609">
        <v>105953</v>
      </c>
      <c r="D40" s="16">
        <v>191211</v>
      </c>
      <c r="E40" s="16">
        <v>290682</v>
      </c>
      <c r="F40" s="16">
        <v>280741</v>
      </c>
      <c r="G40" s="16">
        <v>207963</v>
      </c>
      <c r="H40" s="126">
        <v>196025</v>
      </c>
      <c r="I40" s="132">
        <v>280194</v>
      </c>
      <c r="J40" s="133">
        <v>0</v>
      </c>
    </row>
    <row r="41" spans="1:10">
      <c r="A41" s="14" t="s">
        <v>69</v>
      </c>
      <c r="B41" s="14" t="s">
        <v>70</v>
      </c>
      <c r="C41" s="609">
        <v>167077</v>
      </c>
      <c r="D41" s="16">
        <v>0</v>
      </c>
      <c r="E41" s="16">
        <v>0</v>
      </c>
      <c r="F41" s="16">
        <v>0</v>
      </c>
      <c r="G41" s="16">
        <v>0</v>
      </c>
      <c r="H41" s="126">
        <v>0</v>
      </c>
      <c r="I41" s="132">
        <v>0</v>
      </c>
      <c r="J41" s="133">
        <v>0</v>
      </c>
    </row>
    <row r="42" spans="1:10">
      <c r="A42" s="14" t="s">
        <v>71</v>
      </c>
      <c r="B42" s="14" t="s">
        <v>72</v>
      </c>
      <c r="C42" s="609">
        <v>491170</v>
      </c>
      <c r="D42" s="16">
        <v>0</v>
      </c>
      <c r="E42" s="16">
        <v>0</v>
      </c>
      <c r="F42" s="16">
        <v>0</v>
      </c>
      <c r="G42" s="16">
        <v>0</v>
      </c>
      <c r="H42" s="126">
        <v>0</v>
      </c>
      <c r="I42" s="132">
        <v>0</v>
      </c>
      <c r="J42" s="133">
        <v>0</v>
      </c>
    </row>
    <row r="43" spans="1:10">
      <c r="A43" s="14" t="s">
        <v>73</v>
      </c>
      <c r="B43" s="14" t="s">
        <v>74</v>
      </c>
      <c r="C43" s="609">
        <v>102656</v>
      </c>
      <c r="D43" s="16">
        <v>73369</v>
      </c>
      <c r="E43" s="16">
        <v>192806</v>
      </c>
      <c r="F43" s="16">
        <v>52814</v>
      </c>
      <c r="G43" s="16">
        <v>32037</v>
      </c>
      <c r="H43" s="126">
        <v>24035</v>
      </c>
      <c r="I43" s="132">
        <v>21563</v>
      </c>
      <c r="J43" s="133">
        <v>35970</v>
      </c>
    </row>
    <row r="44" spans="1:10">
      <c r="A44" s="14" t="s">
        <v>75</v>
      </c>
      <c r="B44" s="14" t="s">
        <v>76</v>
      </c>
      <c r="C44" s="609">
        <v>100299</v>
      </c>
      <c r="D44" s="16">
        <v>60165</v>
      </c>
      <c r="E44" s="16">
        <v>180197</v>
      </c>
      <c r="F44" s="16">
        <v>40831</v>
      </c>
      <c r="G44" s="16">
        <v>27643</v>
      </c>
      <c r="H44" s="126">
        <v>19004</v>
      </c>
      <c r="I44" s="132">
        <v>20242</v>
      </c>
      <c r="J44" s="133">
        <v>0</v>
      </c>
    </row>
    <row r="45" spans="1:10">
      <c r="A45" s="14" t="s">
        <v>77</v>
      </c>
      <c r="B45" s="14" t="s">
        <v>78</v>
      </c>
      <c r="C45" s="609">
        <v>93811</v>
      </c>
      <c r="D45" s="16">
        <v>0</v>
      </c>
      <c r="E45" s="16">
        <v>0</v>
      </c>
      <c r="F45" s="16">
        <v>0</v>
      </c>
      <c r="G45" s="16">
        <v>0</v>
      </c>
      <c r="H45" s="126">
        <v>0</v>
      </c>
      <c r="I45" s="132">
        <v>0</v>
      </c>
      <c r="J45" s="133">
        <v>0</v>
      </c>
    </row>
    <row r="46" spans="1:10">
      <c r="A46" s="14" t="s">
        <v>79</v>
      </c>
      <c r="B46" s="14" t="s">
        <v>80</v>
      </c>
      <c r="C46" s="609">
        <v>341080</v>
      </c>
      <c r="D46" s="16">
        <v>694839</v>
      </c>
      <c r="E46" s="16">
        <v>655704</v>
      </c>
      <c r="F46" s="16">
        <v>400196</v>
      </c>
      <c r="G46" s="16">
        <v>461373</v>
      </c>
      <c r="H46" s="126">
        <v>601728</v>
      </c>
      <c r="I46" s="132">
        <v>519434</v>
      </c>
      <c r="J46" s="133">
        <v>439705</v>
      </c>
    </row>
    <row r="47" spans="1:10">
      <c r="A47" s="14" t="s">
        <v>81</v>
      </c>
      <c r="B47" s="14" t="s">
        <v>82</v>
      </c>
      <c r="C47" s="609">
        <v>156265</v>
      </c>
      <c r="D47" s="16">
        <v>123124</v>
      </c>
      <c r="E47" s="16">
        <v>118263</v>
      </c>
      <c r="F47" s="16">
        <v>95975</v>
      </c>
      <c r="G47" s="16">
        <v>135275</v>
      </c>
      <c r="H47" s="126">
        <v>57980</v>
      </c>
      <c r="I47" s="132">
        <v>24220</v>
      </c>
      <c r="J47" s="133">
        <v>19028</v>
      </c>
    </row>
    <row r="48" spans="1:10">
      <c r="A48" s="14" t="s">
        <v>83</v>
      </c>
      <c r="B48" s="14" t="s">
        <v>84</v>
      </c>
      <c r="C48" s="609">
        <v>1205</v>
      </c>
      <c r="D48" s="16">
        <v>2949</v>
      </c>
      <c r="E48" s="16">
        <v>1140</v>
      </c>
      <c r="F48" s="16">
        <v>745</v>
      </c>
      <c r="G48" s="16">
        <v>1213</v>
      </c>
      <c r="H48" s="126">
        <v>763</v>
      </c>
      <c r="I48" s="132">
        <v>755</v>
      </c>
      <c r="J48" s="133">
        <v>3814</v>
      </c>
    </row>
    <row r="49" spans="1:10">
      <c r="A49" s="14" t="s">
        <v>85</v>
      </c>
      <c r="B49" s="14" t="s">
        <v>24</v>
      </c>
      <c r="C49" s="609">
        <v>155060</v>
      </c>
      <c r="D49" s="16">
        <v>120175</v>
      </c>
      <c r="E49" s="16">
        <v>117123</v>
      </c>
      <c r="F49" s="16">
        <v>95230</v>
      </c>
      <c r="G49" s="16">
        <v>134062</v>
      </c>
      <c r="H49" s="126">
        <v>57217</v>
      </c>
      <c r="I49" s="132">
        <v>23465</v>
      </c>
      <c r="J49" s="133">
        <v>15214</v>
      </c>
    </row>
    <row r="50" spans="1:10">
      <c r="A50" s="14" t="s">
        <v>86</v>
      </c>
      <c r="B50" s="14" t="s">
        <v>87</v>
      </c>
      <c r="C50" s="14">
        <v>0</v>
      </c>
      <c r="D50" s="16">
        <v>0</v>
      </c>
      <c r="E50" s="16">
        <v>0</v>
      </c>
      <c r="F50" s="16">
        <v>0</v>
      </c>
      <c r="G50" s="16">
        <v>0</v>
      </c>
      <c r="H50" s="126">
        <v>0</v>
      </c>
      <c r="I50" s="132">
        <v>0</v>
      </c>
      <c r="J50" s="133">
        <v>0</v>
      </c>
    </row>
    <row r="51" spans="1:10">
      <c r="A51" s="14" t="s">
        <v>88</v>
      </c>
      <c r="B51" s="14" t="s">
        <v>89</v>
      </c>
      <c r="C51" s="609">
        <v>21404</v>
      </c>
      <c r="D51" s="16">
        <v>11619</v>
      </c>
      <c r="E51" s="16">
        <v>9668</v>
      </c>
      <c r="F51" s="16">
        <v>5753</v>
      </c>
      <c r="G51" s="16">
        <v>7492</v>
      </c>
      <c r="H51" s="126">
        <v>8344</v>
      </c>
      <c r="I51" s="132">
        <v>9346</v>
      </c>
      <c r="J51" s="133">
        <v>10115</v>
      </c>
    </row>
    <row r="52" spans="1:10">
      <c r="A52" s="14" t="s">
        <v>90</v>
      </c>
      <c r="B52" s="14" t="s">
        <v>91</v>
      </c>
      <c r="C52" s="609">
        <v>81978</v>
      </c>
      <c r="D52" s="16">
        <v>22024</v>
      </c>
      <c r="E52" s="16">
        <v>23967</v>
      </c>
      <c r="F52" s="16">
        <v>32751</v>
      </c>
      <c r="G52" s="16">
        <v>59942</v>
      </c>
      <c r="H52" s="126">
        <v>22309</v>
      </c>
      <c r="I52" s="132">
        <v>13874</v>
      </c>
      <c r="J52" s="133">
        <v>5096</v>
      </c>
    </row>
    <row r="53" spans="1:10">
      <c r="A53" s="14" t="s">
        <v>92</v>
      </c>
      <c r="B53" s="14" t="s">
        <v>93</v>
      </c>
      <c r="C53" s="609">
        <v>81978</v>
      </c>
      <c r="D53" s="16">
        <v>17682</v>
      </c>
      <c r="E53" s="16">
        <v>0</v>
      </c>
      <c r="F53" s="16">
        <v>0</v>
      </c>
      <c r="G53" s="16">
        <v>8727</v>
      </c>
      <c r="H53" s="126">
        <v>14584</v>
      </c>
      <c r="I53" s="132">
        <v>242</v>
      </c>
      <c r="J53" s="133">
        <v>0</v>
      </c>
    </row>
    <row r="54" spans="1:10">
      <c r="A54" s="14" t="s">
        <v>94</v>
      </c>
      <c r="B54" s="14" t="s">
        <v>95</v>
      </c>
      <c r="C54" s="609">
        <v>12455</v>
      </c>
      <c r="D54" s="16">
        <v>0</v>
      </c>
      <c r="E54" s="16">
        <v>0</v>
      </c>
      <c r="F54" s="16">
        <v>0</v>
      </c>
      <c r="G54" s="16">
        <v>0</v>
      </c>
      <c r="H54" s="126">
        <v>0</v>
      </c>
      <c r="I54" s="132">
        <v>0</v>
      </c>
      <c r="J54" s="133">
        <v>0</v>
      </c>
    </row>
    <row r="55" spans="1:10">
      <c r="A55" s="17" t="s">
        <v>96</v>
      </c>
      <c r="B55" s="17" t="s">
        <v>97</v>
      </c>
      <c r="C55" s="610">
        <v>1317764</v>
      </c>
      <c r="D55" s="19">
        <v>1051141</v>
      </c>
      <c r="E55" s="19">
        <v>1020292</v>
      </c>
      <c r="F55" s="19">
        <v>634824</v>
      </c>
      <c r="G55" s="19">
        <v>420565</v>
      </c>
      <c r="H55" s="127">
        <v>231568</v>
      </c>
      <c r="I55" s="24">
        <v>167735</v>
      </c>
      <c r="J55" s="134">
        <v>136702</v>
      </c>
    </row>
    <row r="56" spans="1:10">
      <c r="A56" s="14" t="s">
        <v>98</v>
      </c>
      <c r="B56" s="14" t="s">
        <v>80</v>
      </c>
      <c r="C56" s="609">
        <v>941744</v>
      </c>
      <c r="D56" s="16">
        <v>690894</v>
      </c>
      <c r="E56" s="16">
        <v>876281</v>
      </c>
      <c r="F56" s="16">
        <v>500406</v>
      </c>
      <c r="G56" s="16">
        <v>301561</v>
      </c>
      <c r="H56" s="126">
        <v>110396</v>
      </c>
      <c r="I56" s="132">
        <v>90801</v>
      </c>
      <c r="J56" s="133">
        <v>91602</v>
      </c>
    </row>
    <row r="57" spans="1:10">
      <c r="A57" s="14" t="s">
        <v>99</v>
      </c>
      <c r="B57" s="14" t="s">
        <v>82</v>
      </c>
      <c r="C57" s="609">
        <v>72020</v>
      </c>
      <c r="D57" s="16">
        <v>221553</v>
      </c>
      <c r="E57" s="16">
        <v>30916</v>
      </c>
      <c r="F57" s="16">
        <v>47969</v>
      </c>
      <c r="G57" s="16">
        <v>65201</v>
      </c>
      <c r="H57" s="126">
        <v>71250</v>
      </c>
      <c r="I57" s="132">
        <v>29953</v>
      </c>
      <c r="J57" s="133">
        <v>2792</v>
      </c>
    </row>
    <row r="58" spans="1:10">
      <c r="A58" s="14" t="s">
        <v>100</v>
      </c>
      <c r="B58" s="14" t="s">
        <v>24</v>
      </c>
      <c r="C58" s="609">
        <v>72020</v>
      </c>
      <c r="D58" s="16">
        <v>221553</v>
      </c>
      <c r="E58" s="16">
        <v>29026</v>
      </c>
      <c r="F58" s="16">
        <v>44529</v>
      </c>
      <c r="G58" s="16">
        <v>60808</v>
      </c>
      <c r="H58" s="126">
        <v>65307</v>
      </c>
      <c r="I58" s="132">
        <v>29953</v>
      </c>
      <c r="J58" s="133">
        <v>2792</v>
      </c>
    </row>
    <row r="59" spans="1:10">
      <c r="A59" s="14" t="s">
        <v>101</v>
      </c>
      <c r="B59" s="14" t="s">
        <v>78</v>
      </c>
      <c r="C59" s="14">
        <v>0</v>
      </c>
      <c r="D59" s="16">
        <v>0</v>
      </c>
      <c r="E59" s="16">
        <v>0</v>
      </c>
      <c r="F59" s="16">
        <v>0</v>
      </c>
      <c r="G59" s="16">
        <v>0</v>
      </c>
      <c r="H59" s="126">
        <v>0</v>
      </c>
      <c r="I59" s="132">
        <v>0</v>
      </c>
      <c r="J59" s="133">
        <v>0</v>
      </c>
    </row>
    <row r="60" spans="1:10">
      <c r="A60" s="14" t="s">
        <v>102</v>
      </c>
      <c r="B60" s="14" t="s">
        <v>103</v>
      </c>
      <c r="C60" s="609">
        <v>9286</v>
      </c>
      <c r="D60" s="16">
        <v>23137</v>
      </c>
      <c r="E60" s="16">
        <v>18125</v>
      </c>
      <c r="F60" s="16">
        <v>26525</v>
      </c>
      <c r="G60" s="16">
        <v>31839</v>
      </c>
      <c r="H60" s="126">
        <v>35713</v>
      </c>
      <c r="I60" s="132">
        <v>0</v>
      </c>
      <c r="J60" s="133">
        <v>0</v>
      </c>
    </row>
    <row r="61" spans="1:10">
      <c r="A61" s="14" t="s">
        <v>104</v>
      </c>
      <c r="B61" s="14" t="s">
        <v>91</v>
      </c>
      <c r="C61" s="609">
        <v>22731</v>
      </c>
      <c r="D61" s="16">
        <v>15895</v>
      </c>
      <c r="E61" s="16">
        <v>10426</v>
      </c>
      <c r="F61" s="16">
        <v>17529</v>
      </c>
      <c r="G61" s="16">
        <v>28512</v>
      </c>
      <c r="H61" s="126">
        <v>29135</v>
      </c>
      <c r="I61" s="132">
        <v>23993</v>
      </c>
      <c r="J61" s="133">
        <v>2333</v>
      </c>
    </row>
    <row r="62" spans="1:10">
      <c r="A62" s="14" t="s">
        <v>105</v>
      </c>
      <c r="B62" s="14" t="s">
        <v>37</v>
      </c>
      <c r="C62" s="609">
        <v>18150</v>
      </c>
      <c r="D62" s="16">
        <v>4666</v>
      </c>
      <c r="E62" s="16">
        <v>492</v>
      </c>
      <c r="F62" s="16">
        <v>654</v>
      </c>
      <c r="G62" s="16">
        <v>0</v>
      </c>
      <c r="H62" s="126">
        <v>0</v>
      </c>
      <c r="I62" s="132">
        <v>0</v>
      </c>
      <c r="J62" s="133">
        <v>0</v>
      </c>
    </row>
    <row r="63" spans="1:10">
      <c r="A63" s="14" t="s">
        <v>106</v>
      </c>
      <c r="B63" s="14" t="s">
        <v>107</v>
      </c>
      <c r="C63" s="609">
        <v>18150</v>
      </c>
      <c r="D63" s="16">
        <v>4666</v>
      </c>
      <c r="E63" s="16">
        <v>492</v>
      </c>
      <c r="F63" s="16">
        <v>654</v>
      </c>
      <c r="G63" s="16">
        <v>0</v>
      </c>
      <c r="H63" s="126">
        <v>0</v>
      </c>
      <c r="I63" s="132">
        <v>0</v>
      </c>
      <c r="J63" s="133">
        <v>0</v>
      </c>
    </row>
    <row r="64" spans="1:10">
      <c r="A64" s="14" t="s">
        <v>108</v>
      </c>
      <c r="B64" s="14" t="s">
        <v>109</v>
      </c>
      <c r="C64" s="609">
        <v>285850</v>
      </c>
      <c r="D64" s="16">
        <v>134028</v>
      </c>
      <c r="E64" s="16">
        <v>112603</v>
      </c>
      <c r="F64" s="16">
        <v>85795</v>
      </c>
      <c r="G64" s="16">
        <v>53803</v>
      </c>
      <c r="H64" s="126">
        <v>49922</v>
      </c>
      <c r="I64" s="132">
        <v>46981</v>
      </c>
      <c r="J64" s="133">
        <v>42308</v>
      </c>
    </row>
    <row r="65" spans="1:10">
      <c r="A65" s="14" t="s">
        <v>110</v>
      </c>
      <c r="B65" s="14" t="s">
        <v>111</v>
      </c>
      <c r="C65" s="609">
        <v>206836</v>
      </c>
      <c r="D65" s="16">
        <v>48113</v>
      </c>
      <c r="E65" s="16">
        <v>48017</v>
      </c>
      <c r="F65" s="16">
        <v>39584</v>
      </c>
      <c r="G65" s="16">
        <v>34497</v>
      </c>
      <c r="H65" s="126">
        <v>30600</v>
      </c>
      <c r="I65" s="132">
        <v>32921</v>
      </c>
      <c r="J65" s="133">
        <v>33092</v>
      </c>
    </row>
    <row r="66" spans="1:10">
      <c r="A66" s="14" t="s">
        <v>112</v>
      </c>
      <c r="B66" s="14" t="s">
        <v>113</v>
      </c>
      <c r="C66" s="14">
        <v>0</v>
      </c>
      <c r="D66" s="16">
        <v>0</v>
      </c>
      <c r="E66" s="16">
        <v>0</v>
      </c>
      <c r="F66" s="16">
        <v>0</v>
      </c>
      <c r="G66" s="16">
        <v>0</v>
      </c>
      <c r="H66" s="126">
        <v>0</v>
      </c>
      <c r="I66" s="132">
        <v>0</v>
      </c>
      <c r="J66" s="133">
        <v>0</v>
      </c>
    </row>
    <row r="67" spans="1:10">
      <c r="A67" s="14" t="s">
        <v>114</v>
      </c>
      <c r="B67" s="14" t="s">
        <v>115</v>
      </c>
      <c r="C67" s="14">
        <v>0</v>
      </c>
      <c r="D67" s="16">
        <v>0</v>
      </c>
      <c r="E67" s="16">
        <v>0</v>
      </c>
      <c r="F67" s="16">
        <v>0</v>
      </c>
      <c r="G67" s="16">
        <v>0</v>
      </c>
      <c r="H67" s="126">
        <v>0</v>
      </c>
      <c r="I67" s="132">
        <v>0</v>
      </c>
      <c r="J67" s="133">
        <v>0</v>
      </c>
    </row>
    <row r="68" spans="1:10">
      <c r="A68" s="17" t="s">
        <v>116</v>
      </c>
      <c r="B68" s="17" t="s">
        <v>117</v>
      </c>
      <c r="C68" s="610">
        <v>1646121</v>
      </c>
      <c r="D68" s="19">
        <v>1596427</v>
      </c>
      <c r="E68" s="19">
        <v>1406320</v>
      </c>
      <c r="F68" s="19">
        <v>1181661</v>
      </c>
      <c r="G68" s="19">
        <v>1033138</v>
      </c>
      <c r="H68" s="127">
        <v>534894</v>
      </c>
      <c r="I68" s="24">
        <v>509908</v>
      </c>
      <c r="J68" s="134">
        <v>506375</v>
      </c>
    </row>
    <row r="69" spans="1:10">
      <c r="A69" s="14" t="s">
        <v>118</v>
      </c>
      <c r="B69" s="14" t="s">
        <v>119</v>
      </c>
      <c r="C69" s="609">
        <v>721670</v>
      </c>
      <c r="D69" s="16">
        <v>721670</v>
      </c>
      <c r="E69" s="16">
        <v>721670</v>
      </c>
      <c r="F69" s="16">
        <v>721670</v>
      </c>
      <c r="G69" s="16">
        <v>721670</v>
      </c>
      <c r="H69" s="126">
        <v>389000</v>
      </c>
      <c r="I69" s="132">
        <v>389000</v>
      </c>
      <c r="J69" s="133">
        <v>389000</v>
      </c>
    </row>
    <row r="70" spans="1:10">
      <c r="A70" s="14" t="s">
        <v>120</v>
      </c>
      <c r="B70" s="14" t="s">
        <v>121</v>
      </c>
      <c r="C70" s="609">
        <v>101055</v>
      </c>
      <c r="D70" s="16">
        <v>104889</v>
      </c>
      <c r="E70" s="16">
        <v>101910</v>
      </c>
      <c r="F70" s="16">
        <v>98811</v>
      </c>
      <c r="G70" s="16">
        <v>106086</v>
      </c>
      <c r="H70" s="126">
        <v>106789</v>
      </c>
      <c r="I70" s="132">
        <v>99888</v>
      </c>
      <c r="J70" s="133">
        <v>95403</v>
      </c>
    </row>
    <row r="71" spans="1:10">
      <c r="A71" s="14" t="s">
        <v>122</v>
      </c>
      <c r="B71" s="14" t="s">
        <v>123</v>
      </c>
      <c r="C71" s="609">
        <v>-21203</v>
      </c>
      <c r="D71" s="16">
        <v>-17493</v>
      </c>
      <c r="E71" s="16">
        <v>-19033</v>
      </c>
      <c r="F71" s="16">
        <v>-21128</v>
      </c>
      <c r="G71" s="16">
        <v>-13325</v>
      </c>
      <c r="H71" s="126">
        <v>-12501</v>
      </c>
      <c r="I71" s="132">
        <v>-19229</v>
      </c>
      <c r="J71" s="133">
        <v>-23109</v>
      </c>
    </row>
    <row r="72" spans="1:10">
      <c r="A72" s="14" t="s">
        <v>124</v>
      </c>
      <c r="B72" s="14" t="s">
        <v>125</v>
      </c>
      <c r="C72" s="609">
        <v>122258</v>
      </c>
      <c r="D72" s="16">
        <v>122382</v>
      </c>
      <c r="E72" s="16">
        <v>120943</v>
      </c>
      <c r="F72" s="16">
        <v>119939</v>
      </c>
      <c r="G72" s="16">
        <v>119411</v>
      </c>
      <c r="H72" s="126">
        <v>119290</v>
      </c>
      <c r="I72" s="132">
        <v>119117</v>
      </c>
      <c r="J72" s="133">
        <v>118512</v>
      </c>
    </row>
    <row r="73" spans="1:10">
      <c r="A73" s="33" t="s">
        <v>126</v>
      </c>
      <c r="B73" s="33" t="s">
        <v>127</v>
      </c>
      <c r="C73" s="16">
        <v>820122</v>
      </c>
      <c r="D73" s="16">
        <v>779421</v>
      </c>
      <c r="E73" s="16">
        <v>591779</v>
      </c>
      <c r="F73" s="16">
        <v>361419</v>
      </c>
      <c r="G73" s="16">
        <v>211233</v>
      </c>
      <c r="H73" s="126">
        <v>68687</v>
      </c>
      <c r="I73" s="132">
        <v>61843</v>
      </c>
      <c r="J73" s="133">
        <v>67069</v>
      </c>
    </row>
    <row r="74" spans="1:10">
      <c r="A74" s="33" t="s">
        <v>128</v>
      </c>
      <c r="B74" s="33" t="s">
        <v>129</v>
      </c>
      <c r="C74" s="33">
        <v>0</v>
      </c>
      <c r="D74" s="16">
        <v>0</v>
      </c>
      <c r="E74" s="16">
        <v>0</v>
      </c>
      <c r="F74" s="16">
        <v>0</v>
      </c>
      <c r="G74" s="16">
        <v>0</v>
      </c>
      <c r="H74" s="126">
        <v>0</v>
      </c>
      <c r="I74" s="132">
        <v>0</v>
      </c>
      <c r="J74" s="133">
        <v>0</v>
      </c>
    </row>
    <row r="75" spans="1:10">
      <c r="A75" s="33" t="s">
        <v>130</v>
      </c>
      <c r="B75" s="33" t="s">
        <v>131</v>
      </c>
      <c r="C75" s="33">
        <v>0</v>
      </c>
      <c r="D75" s="16">
        <v>0</v>
      </c>
      <c r="E75" s="16">
        <v>0</v>
      </c>
      <c r="F75" s="16">
        <v>0</v>
      </c>
      <c r="G75" s="16">
        <v>0</v>
      </c>
      <c r="H75" s="126">
        <v>0</v>
      </c>
      <c r="I75" s="132">
        <v>0</v>
      </c>
      <c r="J75" s="133">
        <v>0</v>
      </c>
    </row>
    <row r="76" spans="1:10">
      <c r="A76" s="34" t="s">
        <v>132</v>
      </c>
      <c r="B76" s="35" t="s">
        <v>133</v>
      </c>
      <c r="C76" s="35">
        <v>0</v>
      </c>
      <c r="D76" s="16">
        <v>0</v>
      </c>
      <c r="E76" s="16">
        <v>0</v>
      </c>
      <c r="F76" s="22">
        <v>0</v>
      </c>
      <c r="G76" s="22">
        <v>0</v>
      </c>
      <c r="H76" s="129">
        <v>0</v>
      </c>
      <c r="I76" s="132">
        <v>0</v>
      </c>
      <c r="J76" s="133">
        <v>0</v>
      </c>
    </row>
    <row r="77" spans="1:10">
      <c r="A77" s="36" t="s">
        <v>134</v>
      </c>
      <c r="B77" s="36"/>
      <c r="C77" s="37">
        <f>SUM(C68,C36)</f>
        <v>6113108</v>
      </c>
      <c r="D77" s="37">
        <f>SUM(D68,D36)</f>
        <v>6178260</v>
      </c>
      <c r="E77" s="37">
        <f>SUM(E36,E68)</f>
        <v>5606145</v>
      </c>
      <c r="F77" s="37">
        <f t="shared" ref="F77:I77" si="1">SUM(F36,F68)</f>
        <v>4935797</v>
      </c>
      <c r="G77" s="37">
        <f t="shared" si="1"/>
        <v>3857773</v>
      </c>
      <c r="H77" s="131">
        <f t="shared" si="1"/>
        <v>2480297</v>
      </c>
      <c r="I77" s="136">
        <f>SUM(I36,I68)</f>
        <v>2299437</v>
      </c>
      <c r="J77" s="134">
        <f>J36+J68</f>
        <v>2240234</v>
      </c>
    </row>
    <row r="84" spans="2:2">
      <c r="B84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55AC-4FC4-4131-832D-644497133769}">
  <dimension ref="A1:J27"/>
  <sheetViews>
    <sheetView zoomScale="93" workbookViewId="0">
      <pane xSplit="2" topLeftCell="C1" activePane="topRight" state="frozen"/>
      <selection pane="topRight" activeCell="B1" sqref="B1"/>
    </sheetView>
  </sheetViews>
  <sheetFormatPr defaultColWidth="11.5703125" defaultRowHeight="15"/>
  <cols>
    <col min="1" max="1" width="15" bestFit="1" customWidth="1"/>
    <col min="2" max="2" width="52.85546875" customWidth="1"/>
    <col min="3" max="3" width="13.42578125" customWidth="1"/>
    <col min="4" max="4" width="15" bestFit="1" customWidth="1"/>
    <col min="5" max="5" width="15.7109375" bestFit="1" customWidth="1"/>
    <col min="6" max="6" width="12.5703125" bestFit="1" customWidth="1"/>
    <col min="7" max="7" width="13.28515625" customWidth="1"/>
    <col min="8" max="8" width="13.7109375" customWidth="1"/>
    <col min="9" max="9" width="13.42578125" customWidth="1"/>
  </cols>
  <sheetData>
    <row r="1" spans="1:10">
      <c r="A1" s="790" t="s">
        <v>136</v>
      </c>
      <c r="B1" s="791"/>
      <c r="C1" s="792"/>
      <c r="D1" s="791"/>
      <c r="E1" s="791"/>
      <c r="F1" s="791"/>
      <c r="G1" s="791"/>
      <c r="H1" s="791"/>
      <c r="I1" s="791"/>
    </row>
    <row r="2" spans="1:10">
      <c r="A2" s="44" t="s">
        <v>137</v>
      </c>
      <c r="B2" s="45" t="s">
        <v>2</v>
      </c>
      <c r="C2" s="616">
        <v>2024</v>
      </c>
      <c r="D2" s="301">
        <v>2023</v>
      </c>
      <c r="E2" s="3">
        <v>2022</v>
      </c>
      <c r="F2" s="3">
        <v>2021</v>
      </c>
      <c r="G2" s="3">
        <v>2020</v>
      </c>
      <c r="H2" s="3">
        <v>2019</v>
      </c>
      <c r="I2" s="162">
        <v>2018</v>
      </c>
      <c r="J2" s="3">
        <v>2017</v>
      </c>
    </row>
    <row r="3" spans="1:10">
      <c r="A3" s="67" t="s">
        <v>138</v>
      </c>
      <c r="B3" s="68" t="s">
        <v>139</v>
      </c>
      <c r="C3" s="617">
        <v>3688326</v>
      </c>
      <c r="D3" s="584">
        <v>3926631</v>
      </c>
      <c r="E3" s="263">
        <v>4993235</v>
      </c>
      <c r="F3" s="66">
        <v>3365487</v>
      </c>
      <c r="G3" s="66">
        <v>2192173</v>
      </c>
      <c r="H3" s="66">
        <v>1915308</v>
      </c>
      <c r="I3" s="142">
        <v>1890654</v>
      </c>
      <c r="J3" s="163">
        <v>1913608</v>
      </c>
    </row>
    <row r="4" spans="1:10">
      <c r="A4" s="46" t="s">
        <v>140</v>
      </c>
      <c r="B4" s="47" t="s">
        <v>141</v>
      </c>
      <c r="C4" s="614">
        <v>-2764289</v>
      </c>
      <c r="D4" s="585">
        <v>-2864102</v>
      </c>
      <c r="E4" s="264">
        <v>-3796478</v>
      </c>
      <c r="F4" s="48">
        <v>-2596881</v>
      </c>
      <c r="G4" s="48">
        <v>-1743427</v>
      </c>
      <c r="H4" s="48">
        <v>-1435200</v>
      </c>
      <c r="I4" s="143">
        <v>-1436949</v>
      </c>
      <c r="J4" s="157">
        <v>-1420259</v>
      </c>
    </row>
    <row r="5" spans="1:10">
      <c r="A5" s="46" t="s">
        <v>142</v>
      </c>
      <c r="B5" s="47" t="s">
        <v>143</v>
      </c>
      <c r="C5" s="611">
        <v>924037</v>
      </c>
      <c r="D5" s="586">
        <v>1062529</v>
      </c>
      <c r="E5" s="265">
        <v>1196757</v>
      </c>
      <c r="F5" s="49">
        <v>768606</v>
      </c>
      <c r="G5" s="49">
        <v>448746</v>
      </c>
      <c r="H5" s="49">
        <v>480108</v>
      </c>
      <c r="I5" s="144">
        <v>453705</v>
      </c>
      <c r="J5" s="158">
        <v>493349</v>
      </c>
    </row>
    <row r="6" spans="1:10">
      <c r="A6" s="50"/>
      <c r="B6" s="51" t="s">
        <v>144</v>
      </c>
      <c r="C6" s="587">
        <f>C5/C3</f>
        <v>0.25053018632300939</v>
      </c>
      <c r="D6" s="587">
        <f>D5/D3</f>
        <v>0.27059558181046295</v>
      </c>
      <c r="E6" s="302">
        <f>E5/E3</f>
        <v>0.23967568119665908</v>
      </c>
      <c r="F6" s="2">
        <f t="shared" ref="F6:H6" si="0">F5/F3</f>
        <v>0.22837883492047362</v>
      </c>
      <c r="G6" s="2">
        <f t="shared" si="0"/>
        <v>0.20470373460488747</v>
      </c>
      <c r="H6" s="2">
        <f t="shared" si="0"/>
        <v>0.25066882193360024</v>
      </c>
      <c r="I6" s="145">
        <f>I5/I3</f>
        <v>0.23997251744634396</v>
      </c>
      <c r="J6" s="159">
        <f>J5/J3</f>
        <v>0.25781089961998488</v>
      </c>
    </row>
    <row r="7" spans="1:10">
      <c r="A7" s="46" t="s">
        <v>145</v>
      </c>
      <c r="B7" s="47" t="s">
        <v>146</v>
      </c>
      <c r="C7" s="611">
        <v>-614527</v>
      </c>
      <c r="D7" s="585">
        <v>-553952</v>
      </c>
      <c r="E7" s="264">
        <v>-571662</v>
      </c>
      <c r="F7" s="48">
        <v>-465457</v>
      </c>
      <c r="G7" s="48">
        <v>-171070</v>
      </c>
      <c r="H7" s="48">
        <v>-381253</v>
      </c>
      <c r="I7" s="143">
        <v>-378691</v>
      </c>
      <c r="J7" s="157">
        <v>-454272</v>
      </c>
    </row>
    <row r="8" spans="1:10">
      <c r="A8" s="50"/>
      <c r="B8" s="51" t="s">
        <v>147</v>
      </c>
      <c r="C8" s="389"/>
      <c r="D8" s="587">
        <f>D7/D3</f>
        <v>-0.14107564474482068</v>
      </c>
      <c r="E8" s="302">
        <f>E7/E3</f>
        <v>-0.11448730131868418</v>
      </c>
      <c r="F8" s="2">
        <f t="shared" ref="F8:H8" si="1">F7/F3</f>
        <v>-0.13830301528426645</v>
      </c>
      <c r="G8" s="2">
        <f t="shared" si="1"/>
        <v>-7.8036724291376633E-2</v>
      </c>
      <c r="H8" s="2">
        <f t="shared" si="1"/>
        <v>-0.19905571323254537</v>
      </c>
      <c r="I8" s="145">
        <f>I7/I3</f>
        <v>-0.20029629958733855</v>
      </c>
      <c r="J8" s="159">
        <f>J7/J3</f>
        <v>-0.23739031191341173</v>
      </c>
    </row>
    <row r="9" spans="1:10">
      <c r="A9" s="54" t="s">
        <v>148</v>
      </c>
      <c r="B9" s="55" t="s">
        <v>149</v>
      </c>
      <c r="C9" s="612">
        <v>-436329</v>
      </c>
      <c r="D9" s="588">
        <v>-496236</v>
      </c>
      <c r="E9" s="266">
        <v>-540264</v>
      </c>
      <c r="F9" s="56">
        <v>-363763</v>
      </c>
      <c r="G9" s="56">
        <v>-310653</v>
      </c>
      <c r="H9" s="56">
        <v>-273006</v>
      </c>
      <c r="I9" s="146">
        <v>-276226</v>
      </c>
      <c r="J9" s="160">
        <v>-332140</v>
      </c>
    </row>
    <row r="10" spans="1:10">
      <c r="A10" s="54" t="s">
        <v>150</v>
      </c>
      <c r="B10" s="55" t="s">
        <v>151</v>
      </c>
      <c r="C10" s="612">
        <v>220817</v>
      </c>
      <c r="D10" s="589">
        <v>-216172</v>
      </c>
      <c r="E10" s="267">
        <v>-197325</v>
      </c>
      <c r="F10" s="56">
        <v>-163437</v>
      </c>
      <c r="G10" s="56">
        <v>-82691</v>
      </c>
      <c r="H10" s="56">
        <v>-112095</v>
      </c>
      <c r="I10" s="146">
        <v>-105148</v>
      </c>
      <c r="J10" s="160">
        <v>-98920</v>
      </c>
    </row>
    <row r="11" spans="1:10">
      <c r="A11" s="54" t="s">
        <v>152</v>
      </c>
      <c r="B11" s="55" t="s">
        <v>153</v>
      </c>
      <c r="C11" s="397">
        <v>0</v>
      </c>
      <c r="D11" s="590">
        <v>0</v>
      </c>
      <c r="E11" s="331">
        <v>0</v>
      </c>
      <c r="F11" s="334">
        <v>0</v>
      </c>
      <c r="G11" s="334">
        <v>0</v>
      </c>
      <c r="H11" s="334">
        <v>0</v>
      </c>
      <c r="I11" s="335">
        <v>0</v>
      </c>
      <c r="J11" s="336">
        <v>0</v>
      </c>
    </row>
    <row r="12" spans="1:10">
      <c r="A12" s="54" t="s">
        <v>154</v>
      </c>
      <c r="B12" s="55" t="s">
        <v>155</v>
      </c>
      <c r="C12" s="612">
        <v>50284</v>
      </c>
      <c r="D12" s="590">
        <v>165013</v>
      </c>
      <c r="E12" s="331">
        <v>174197</v>
      </c>
      <c r="F12" s="57">
        <v>57585</v>
      </c>
      <c r="G12" s="57">
        <v>221150</v>
      </c>
      <c r="H12" s="57">
        <v>5896</v>
      </c>
      <c r="I12" s="147">
        <v>5610</v>
      </c>
      <c r="J12" s="161">
        <v>0</v>
      </c>
    </row>
    <row r="13" spans="1:10">
      <c r="A13" s="54" t="s">
        <v>156</v>
      </c>
      <c r="B13" s="55" t="s">
        <v>157</v>
      </c>
      <c r="C13" s="612">
        <v>-7665</v>
      </c>
      <c r="D13" s="591">
        <v>-6557</v>
      </c>
      <c r="E13" s="268">
        <v>-8270</v>
      </c>
      <c r="F13" s="57">
        <v>4158</v>
      </c>
      <c r="G13" s="57">
        <v>1124</v>
      </c>
      <c r="H13" s="57">
        <v>-2048</v>
      </c>
      <c r="I13" s="147">
        <v>-2927</v>
      </c>
      <c r="J13" s="161">
        <v>-6125</v>
      </c>
    </row>
    <row r="14" spans="1:10">
      <c r="A14" s="46" t="s">
        <v>158</v>
      </c>
      <c r="B14" s="47" t="s">
        <v>159</v>
      </c>
      <c r="C14" s="615">
        <v>309510</v>
      </c>
      <c r="D14" s="586">
        <v>508577</v>
      </c>
      <c r="E14" s="265">
        <v>625095</v>
      </c>
      <c r="F14" s="49">
        <v>303149</v>
      </c>
      <c r="G14" s="49">
        <v>277676</v>
      </c>
      <c r="H14" s="49">
        <v>98855</v>
      </c>
      <c r="I14" s="144">
        <v>75014</v>
      </c>
      <c r="J14" s="320">
        <v>39077</v>
      </c>
    </row>
    <row r="15" spans="1:10">
      <c r="A15" s="50" t="s">
        <v>160</v>
      </c>
      <c r="B15" s="51" t="s">
        <v>161</v>
      </c>
      <c r="C15" s="583">
        <v>-207374</v>
      </c>
      <c r="D15" s="588">
        <v>-254426</v>
      </c>
      <c r="E15" s="266">
        <v>-31811</v>
      </c>
      <c r="F15" s="53">
        <v>-94912</v>
      </c>
      <c r="G15" s="53">
        <v>-5287</v>
      </c>
      <c r="H15" s="53">
        <v>-70575</v>
      </c>
      <c r="I15" s="148">
        <v>-64781</v>
      </c>
      <c r="J15" s="160">
        <v>-83064</v>
      </c>
    </row>
    <row r="16" spans="1:10">
      <c r="A16" s="54" t="s">
        <v>162</v>
      </c>
      <c r="B16" s="55" t="s">
        <v>163</v>
      </c>
      <c r="C16" s="612">
        <v>114170</v>
      </c>
      <c r="D16" s="591">
        <v>104320</v>
      </c>
      <c r="E16" s="268">
        <v>39509</v>
      </c>
      <c r="F16" s="57">
        <v>63856</v>
      </c>
      <c r="G16" s="57">
        <v>95289</v>
      </c>
      <c r="H16" s="57">
        <v>37406</v>
      </c>
      <c r="I16" s="147">
        <v>48130</v>
      </c>
      <c r="J16" s="161">
        <v>65135</v>
      </c>
    </row>
    <row r="17" spans="1:10">
      <c r="A17" s="54" t="s">
        <v>164</v>
      </c>
      <c r="B17" s="55" t="s">
        <v>165</v>
      </c>
      <c r="C17" s="612">
        <v>-321544</v>
      </c>
      <c r="D17" s="592">
        <v>104320</v>
      </c>
      <c r="E17" s="333">
        <v>86350</v>
      </c>
      <c r="F17" s="334">
        <v>43706</v>
      </c>
      <c r="G17" s="334">
        <v>59756</v>
      </c>
      <c r="H17" s="334">
        <v>32306</v>
      </c>
      <c r="I17" s="335">
        <v>48130</v>
      </c>
      <c r="J17" s="336">
        <v>65135</v>
      </c>
    </row>
    <row r="18" spans="1:10">
      <c r="A18" s="50" t="s">
        <v>166</v>
      </c>
      <c r="B18" s="51" t="s">
        <v>167</v>
      </c>
      <c r="C18" s="583">
        <v>102136</v>
      </c>
      <c r="D18" s="590">
        <v>254151</v>
      </c>
      <c r="E18" s="331">
        <v>306984</v>
      </c>
      <c r="F18" s="52">
        <v>208237</v>
      </c>
      <c r="G18" s="52">
        <v>272389</v>
      </c>
      <c r="H18" s="52">
        <v>28280</v>
      </c>
      <c r="I18" s="149">
        <v>10233</v>
      </c>
      <c r="J18" s="160">
        <v>-43987</v>
      </c>
    </row>
    <row r="19" spans="1:10">
      <c r="A19" s="50" t="s">
        <v>168</v>
      </c>
      <c r="B19" s="51" t="s">
        <v>169</v>
      </c>
      <c r="C19" s="583">
        <v>-17098</v>
      </c>
      <c r="D19" s="593">
        <v>-3269</v>
      </c>
      <c r="E19" s="332">
        <v>-627</v>
      </c>
      <c r="F19" s="53">
        <v>-5341</v>
      </c>
      <c r="G19" s="53">
        <v>-76547</v>
      </c>
      <c r="H19" s="53">
        <v>-7432</v>
      </c>
      <c r="I19" s="148">
        <v>-10694</v>
      </c>
      <c r="J19" s="160">
        <v>-3564</v>
      </c>
    </row>
    <row r="20" spans="1:10">
      <c r="A20" s="50" t="s">
        <v>170</v>
      </c>
      <c r="B20" s="51" t="s">
        <v>171</v>
      </c>
      <c r="C20" s="583">
        <v>85038</v>
      </c>
      <c r="D20" s="590">
        <v>250882</v>
      </c>
      <c r="E20" s="331">
        <v>306357</v>
      </c>
      <c r="F20" s="52">
        <v>202896</v>
      </c>
      <c r="G20" s="52">
        <v>195842</v>
      </c>
      <c r="H20" s="52">
        <v>20848</v>
      </c>
      <c r="I20" s="329">
        <v>-461</v>
      </c>
      <c r="J20" s="160">
        <v>-47551</v>
      </c>
    </row>
    <row r="21" spans="1:10">
      <c r="A21" s="46" t="s">
        <v>172</v>
      </c>
      <c r="B21" s="47" t="s">
        <v>173</v>
      </c>
      <c r="C21" s="611">
        <v>85038</v>
      </c>
      <c r="D21" s="594">
        <v>250882</v>
      </c>
      <c r="E21" s="327">
        <v>306357</v>
      </c>
      <c r="F21" s="49">
        <v>202896</v>
      </c>
      <c r="G21" s="49">
        <v>195842</v>
      </c>
      <c r="H21" s="49">
        <v>20848</v>
      </c>
      <c r="I21" s="143">
        <v>-461</v>
      </c>
      <c r="J21" s="157">
        <v>-47551</v>
      </c>
    </row>
    <row r="22" spans="1:10">
      <c r="A22" s="58" t="s">
        <v>174</v>
      </c>
      <c r="B22" s="59" t="s">
        <v>175</v>
      </c>
      <c r="C22" s="612">
        <v>80378</v>
      </c>
      <c r="D22" s="595">
        <v>246760</v>
      </c>
      <c r="E22" s="328">
        <v>303117</v>
      </c>
      <c r="F22" s="60">
        <v>200258</v>
      </c>
      <c r="G22" s="60">
        <v>190971</v>
      </c>
      <c r="H22" s="60">
        <v>16459</v>
      </c>
      <c r="I22" s="330">
        <v>-461</v>
      </c>
      <c r="J22" s="160">
        <v>-47551</v>
      </c>
    </row>
    <row r="23" spans="1:10">
      <c r="A23" s="61" t="s">
        <v>176</v>
      </c>
      <c r="B23" s="59" t="s">
        <v>177</v>
      </c>
      <c r="C23" s="397" t="s">
        <v>178</v>
      </c>
      <c r="D23" s="596"/>
      <c r="E23" s="269"/>
      <c r="F23" s="60"/>
      <c r="G23" s="60"/>
      <c r="H23" s="60"/>
      <c r="I23" s="150"/>
      <c r="J23" s="321"/>
    </row>
    <row r="24" spans="1:10">
      <c r="A24" s="62" t="s">
        <v>179</v>
      </c>
      <c r="B24" s="63" t="s">
        <v>180</v>
      </c>
      <c r="C24" s="397" t="s">
        <v>178</v>
      </c>
      <c r="D24" s="597"/>
      <c r="E24" s="270"/>
      <c r="F24" s="64"/>
      <c r="G24" s="64"/>
      <c r="H24" s="64"/>
      <c r="I24" s="151"/>
      <c r="J24" s="154"/>
    </row>
    <row r="25" spans="1:10">
      <c r="A25" s="62" t="s">
        <v>181</v>
      </c>
      <c r="B25" s="63" t="s">
        <v>182</v>
      </c>
      <c r="C25" s="397"/>
      <c r="D25" s="598">
        <v>1.7617</v>
      </c>
      <c r="E25" s="325">
        <v>2.1673</v>
      </c>
      <c r="F25" s="322">
        <v>1.4287000000000001</v>
      </c>
      <c r="G25" s="322">
        <v>1.4024000000000001</v>
      </c>
      <c r="H25" s="65"/>
      <c r="I25" s="152"/>
      <c r="J25" s="155"/>
    </row>
    <row r="26" spans="1:10">
      <c r="A26" s="62" t="s">
        <v>183</v>
      </c>
      <c r="B26" s="63" t="s">
        <v>184</v>
      </c>
      <c r="C26" s="619" t="s">
        <v>185</v>
      </c>
      <c r="D26" s="599"/>
      <c r="E26" s="271"/>
      <c r="F26" s="65"/>
      <c r="G26" s="65"/>
      <c r="H26" s="65"/>
      <c r="I26" s="152"/>
      <c r="J26" s="154"/>
    </row>
    <row r="27" spans="1:10">
      <c r="A27" s="69" t="s">
        <v>186</v>
      </c>
      <c r="B27" s="70" t="s">
        <v>182</v>
      </c>
      <c r="C27" s="618" t="s">
        <v>187</v>
      </c>
      <c r="D27" s="600">
        <v>1.7583</v>
      </c>
      <c r="E27" s="326">
        <v>2.1638000000000002</v>
      </c>
      <c r="F27" s="324">
        <v>1.4234</v>
      </c>
      <c r="G27" s="323">
        <v>1.4005000000000001</v>
      </c>
      <c r="H27" s="71"/>
      <c r="I27" s="153"/>
      <c r="J27" s="156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5F1D-536A-394F-85FA-7100EEBDD5CE}">
  <dimension ref="A1:J60"/>
  <sheetViews>
    <sheetView zoomScale="76" workbookViewId="0">
      <pane xSplit="2" topLeftCell="C1" activePane="topRight" state="frozen"/>
      <selection pane="topRight" activeCell="B1" sqref="B1"/>
    </sheetView>
  </sheetViews>
  <sheetFormatPr defaultColWidth="11.5703125" defaultRowHeight="15"/>
  <cols>
    <col min="1" max="1" width="15.5703125" customWidth="1"/>
    <col min="2" max="2" width="66" bestFit="1" customWidth="1"/>
    <col min="3" max="3" width="11.140625" bestFit="1" customWidth="1"/>
    <col min="4" max="4" width="11.28515625" bestFit="1" customWidth="1"/>
    <col min="5" max="6" width="12.28515625" customWidth="1"/>
  </cols>
  <sheetData>
    <row r="1" spans="1:10">
      <c r="A1" s="793" t="s">
        <v>188</v>
      </c>
      <c r="B1" s="794"/>
      <c r="C1" s="794"/>
      <c r="D1" s="794"/>
      <c r="E1" s="794"/>
      <c r="F1" s="794"/>
      <c r="G1" s="794"/>
      <c r="H1" s="794"/>
      <c r="I1" s="795"/>
    </row>
    <row r="2" spans="1:10">
      <c r="A2" s="116" t="s">
        <v>1</v>
      </c>
      <c r="B2" s="579" t="s">
        <v>2</v>
      </c>
      <c r="C2" s="577">
        <v>2024</v>
      </c>
      <c r="D2" s="580">
        <v>2023</v>
      </c>
      <c r="E2" s="117">
        <v>2022</v>
      </c>
      <c r="F2" s="117">
        <v>2021</v>
      </c>
      <c r="G2" s="117">
        <v>2020</v>
      </c>
      <c r="H2" s="117">
        <v>2019</v>
      </c>
      <c r="I2" s="117">
        <v>2018</v>
      </c>
      <c r="J2" s="117">
        <v>2017</v>
      </c>
    </row>
    <row r="3" spans="1:10">
      <c r="A3" s="118" t="s">
        <v>189</v>
      </c>
      <c r="B3" s="390" t="s">
        <v>190</v>
      </c>
      <c r="C3" s="708">
        <v>529080</v>
      </c>
      <c r="D3" s="710">
        <v>540734</v>
      </c>
      <c r="E3" s="394">
        <v>-329969</v>
      </c>
      <c r="F3" s="164">
        <v>-145748</v>
      </c>
      <c r="G3" s="164">
        <v>-223656</v>
      </c>
      <c r="H3" s="164">
        <v>-3671</v>
      </c>
      <c r="I3" s="164">
        <v>-64563</v>
      </c>
      <c r="J3" s="164">
        <v>112580</v>
      </c>
    </row>
    <row r="4" spans="1:10">
      <c r="A4" s="97" t="s">
        <v>191</v>
      </c>
      <c r="B4" s="51" t="s">
        <v>192</v>
      </c>
      <c r="C4" s="583">
        <v>314101</v>
      </c>
      <c r="D4" s="582">
        <v>538204</v>
      </c>
      <c r="E4" s="395">
        <v>601369</v>
      </c>
      <c r="F4" s="165">
        <v>355087</v>
      </c>
      <c r="G4" s="165">
        <v>207768</v>
      </c>
      <c r="H4" s="165">
        <v>128411</v>
      </c>
      <c r="I4" s="165">
        <v>101775</v>
      </c>
      <c r="J4" s="165">
        <v>21794</v>
      </c>
    </row>
    <row r="5" spans="1:10">
      <c r="A5" s="97" t="s">
        <v>193</v>
      </c>
      <c r="B5" s="51" t="s">
        <v>194</v>
      </c>
      <c r="C5" s="583">
        <v>85038</v>
      </c>
      <c r="D5" s="582">
        <v>250882</v>
      </c>
      <c r="E5" s="395">
        <v>306357</v>
      </c>
      <c r="F5" s="165">
        <v>202896</v>
      </c>
      <c r="G5" s="165">
        <v>195842</v>
      </c>
      <c r="H5" s="165">
        <v>20848</v>
      </c>
      <c r="I5" s="165">
        <v>-461</v>
      </c>
      <c r="J5" s="165">
        <v>-47551</v>
      </c>
    </row>
    <row r="6" spans="1:10">
      <c r="A6" s="97" t="s">
        <v>195</v>
      </c>
      <c r="B6" s="51" t="s">
        <v>196</v>
      </c>
      <c r="C6" s="583">
        <v>57417</v>
      </c>
      <c r="D6" s="582">
        <v>56230</v>
      </c>
      <c r="E6" s="395">
        <v>49891</v>
      </c>
      <c r="F6" s="165">
        <v>42344</v>
      </c>
      <c r="G6" s="165">
        <v>46102</v>
      </c>
      <c r="H6" s="165">
        <v>35995</v>
      </c>
      <c r="I6" s="165">
        <v>32586</v>
      </c>
      <c r="J6" s="165">
        <v>31999</v>
      </c>
    </row>
    <row r="7" spans="1:10">
      <c r="A7" s="97" t="s">
        <v>197</v>
      </c>
      <c r="B7" s="51" t="s">
        <v>198</v>
      </c>
      <c r="C7" s="583">
        <v>7665</v>
      </c>
      <c r="D7" s="582">
        <v>6557</v>
      </c>
      <c r="E7" s="395">
        <v>8270</v>
      </c>
      <c r="F7" s="165">
        <v>-4158</v>
      </c>
      <c r="G7" s="165">
        <v>-1124</v>
      </c>
      <c r="H7" s="165">
        <v>2048</v>
      </c>
      <c r="I7" s="165">
        <v>2927</v>
      </c>
      <c r="J7" s="165">
        <v>6125</v>
      </c>
    </row>
    <row r="8" spans="1:10">
      <c r="A8" s="97" t="s">
        <v>199</v>
      </c>
      <c r="B8" s="51" t="s">
        <v>200</v>
      </c>
      <c r="C8" s="712">
        <v>-26243</v>
      </c>
      <c r="D8" s="711">
        <v>-44979</v>
      </c>
      <c r="E8" s="395">
        <v>-155260</v>
      </c>
      <c r="F8" s="165">
        <v>-35656</v>
      </c>
      <c r="G8" s="165">
        <v>-23551</v>
      </c>
      <c r="H8" s="165">
        <v>-8549</v>
      </c>
      <c r="I8" s="165">
        <v>13083</v>
      </c>
      <c r="J8" s="165">
        <v>-38532</v>
      </c>
    </row>
    <row r="9" spans="1:10">
      <c r="A9" s="97" t="s">
        <v>201</v>
      </c>
      <c r="B9" s="51" t="s">
        <v>202</v>
      </c>
      <c r="C9" s="583">
        <v>156059</v>
      </c>
      <c r="D9" s="582">
        <v>7714</v>
      </c>
      <c r="E9" s="395">
        <v>11645</v>
      </c>
      <c r="F9" s="165">
        <v>11488</v>
      </c>
      <c r="G9" s="165">
        <v>4717</v>
      </c>
      <c r="H9" s="165">
        <v>-1868</v>
      </c>
      <c r="I9" s="165">
        <v>-1419</v>
      </c>
      <c r="J9" s="165">
        <v>-1064</v>
      </c>
    </row>
    <row r="10" spans="1:10">
      <c r="A10" s="97" t="s">
        <v>203</v>
      </c>
      <c r="B10" s="51" t="s">
        <v>204</v>
      </c>
      <c r="C10" s="712">
        <v>-1078</v>
      </c>
      <c r="D10" s="582">
        <v>7655</v>
      </c>
      <c r="E10" s="395">
        <v>50824</v>
      </c>
      <c r="F10" s="165">
        <v>7401</v>
      </c>
      <c r="G10" s="165">
        <v>11252</v>
      </c>
      <c r="H10" s="165">
        <v>2582</v>
      </c>
      <c r="I10" s="165">
        <v>7045</v>
      </c>
      <c r="J10" s="165">
        <v>7923</v>
      </c>
    </row>
    <row r="11" spans="1:10">
      <c r="A11" s="97" t="s">
        <v>205</v>
      </c>
      <c r="B11" s="51" t="s">
        <v>206</v>
      </c>
      <c r="C11" s="583">
        <v>9124</v>
      </c>
      <c r="D11" s="714">
        <v>-2433</v>
      </c>
      <c r="E11" s="395">
        <v>30934</v>
      </c>
      <c r="F11" s="165">
        <v>20827</v>
      </c>
      <c r="G11" s="165">
        <v>23802</v>
      </c>
      <c r="H11" s="165">
        <v>-1867</v>
      </c>
      <c r="I11" s="165">
        <v>1266</v>
      </c>
      <c r="J11" s="165">
        <v>15457</v>
      </c>
    </row>
    <row r="12" spans="1:10">
      <c r="A12" s="97" t="s">
        <v>207</v>
      </c>
      <c r="B12" s="51" t="s">
        <v>208</v>
      </c>
      <c r="C12" s="712">
        <v>-26017</v>
      </c>
      <c r="D12" s="582">
        <v>23175</v>
      </c>
      <c r="E12" s="395">
        <v>28996</v>
      </c>
      <c r="F12" s="165">
        <v>41884</v>
      </c>
      <c r="G12" s="165">
        <v>71107</v>
      </c>
      <c r="H12" s="165">
        <v>0</v>
      </c>
      <c r="I12" s="165">
        <v>0</v>
      </c>
      <c r="J12" s="165">
        <v>0</v>
      </c>
    </row>
    <row r="13" spans="1:10">
      <c r="A13" s="97" t="s">
        <v>209</v>
      </c>
      <c r="B13" s="51" t="s">
        <v>210</v>
      </c>
      <c r="C13" s="583">
        <v>1071</v>
      </c>
      <c r="D13" s="582">
        <v>1882</v>
      </c>
      <c r="E13" s="395">
        <v>1299</v>
      </c>
      <c r="F13" s="165">
        <v>1475</v>
      </c>
      <c r="G13" s="165">
        <v>431</v>
      </c>
      <c r="H13" s="165">
        <v>425</v>
      </c>
      <c r="I13" s="165">
        <v>675</v>
      </c>
      <c r="J13" s="165">
        <v>316</v>
      </c>
    </row>
    <row r="14" spans="1:10">
      <c r="A14" s="97" t="s">
        <v>211</v>
      </c>
      <c r="B14" s="51" t="s">
        <v>212</v>
      </c>
      <c r="C14" s="583">
        <v>165561</v>
      </c>
      <c r="D14" s="582">
        <v>235958</v>
      </c>
      <c r="E14" s="395">
        <v>271262</v>
      </c>
      <c r="F14" s="165">
        <v>89200</v>
      </c>
      <c r="G14" s="165">
        <v>61796</v>
      </c>
      <c r="H14" s="165">
        <v>71813</v>
      </c>
      <c r="I14" s="165">
        <v>57138</v>
      </c>
      <c r="J14" s="165">
        <v>77927</v>
      </c>
    </row>
    <row r="15" spans="1:10">
      <c r="A15" s="97" t="s">
        <v>213</v>
      </c>
      <c r="B15" s="51" t="s">
        <v>214</v>
      </c>
      <c r="C15" s="583">
        <v>29622</v>
      </c>
      <c r="D15" s="714">
        <v>-5380</v>
      </c>
      <c r="E15" s="395">
        <v>6129</v>
      </c>
      <c r="F15" s="165">
        <v>6743</v>
      </c>
      <c r="G15" s="165">
        <v>-5967</v>
      </c>
      <c r="H15" s="165">
        <v>-5384</v>
      </c>
      <c r="I15" s="165">
        <v>-17204</v>
      </c>
      <c r="J15" s="165">
        <v>-34370</v>
      </c>
    </row>
    <row r="16" spans="1:10">
      <c r="A16" s="97" t="s">
        <v>215</v>
      </c>
      <c r="B16" s="51" t="s">
        <v>216</v>
      </c>
      <c r="C16" s="583">
        <v>5607</v>
      </c>
      <c r="D16" s="714">
        <v>-2326</v>
      </c>
      <c r="E16" s="395">
        <v>-9605</v>
      </c>
      <c r="F16" s="165">
        <v>-16506</v>
      </c>
      <c r="G16" s="165">
        <v>-31810</v>
      </c>
      <c r="H16" s="165">
        <v>-3403</v>
      </c>
      <c r="I16" s="165">
        <v>-4555</v>
      </c>
      <c r="J16" s="165">
        <v>0</v>
      </c>
    </row>
    <row r="17" spans="1:10">
      <c r="A17" s="97" t="s">
        <v>217</v>
      </c>
      <c r="B17" s="51" t="s">
        <v>218</v>
      </c>
      <c r="C17" s="389">
        <v>0</v>
      </c>
      <c r="D17" s="581">
        <v>0</v>
      </c>
      <c r="E17" s="395">
        <v>0</v>
      </c>
      <c r="F17" s="165">
        <v>-14734</v>
      </c>
      <c r="G17" s="165">
        <v>-221376</v>
      </c>
      <c r="H17" s="165">
        <v>0</v>
      </c>
      <c r="I17" s="165">
        <v>0</v>
      </c>
      <c r="J17" s="165">
        <v>0</v>
      </c>
    </row>
    <row r="18" spans="1:10">
      <c r="A18" s="97" t="s">
        <v>219</v>
      </c>
      <c r="B18" s="51" t="s">
        <v>220</v>
      </c>
      <c r="C18" s="583">
        <v>17098</v>
      </c>
      <c r="D18" s="582">
        <v>3269</v>
      </c>
      <c r="E18" s="395">
        <v>627</v>
      </c>
      <c r="F18" s="165">
        <v>5341</v>
      </c>
      <c r="G18" s="165">
        <v>76547</v>
      </c>
      <c r="H18" s="165">
        <v>7432</v>
      </c>
      <c r="I18" s="165">
        <v>10694</v>
      </c>
      <c r="J18" s="165">
        <v>0</v>
      </c>
    </row>
    <row r="19" spans="1:10">
      <c r="A19" s="97" t="s">
        <v>221</v>
      </c>
      <c r="B19" s="51" t="s">
        <v>222</v>
      </c>
      <c r="C19" s="389">
        <v>0</v>
      </c>
      <c r="D19" s="581">
        <v>0</v>
      </c>
      <c r="E19" s="395">
        <v>0</v>
      </c>
      <c r="F19" s="165">
        <v>-3458</v>
      </c>
      <c r="G19" s="165">
        <v>0</v>
      </c>
      <c r="H19" s="165">
        <v>0</v>
      </c>
      <c r="I19" s="165">
        <v>0</v>
      </c>
      <c r="J19" s="165">
        <v>0</v>
      </c>
    </row>
    <row r="20" spans="1:10">
      <c r="A20" s="97" t="s">
        <v>223</v>
      </c>
      <c r="B20" s="51" t="s">
        <v>224</v>
      </c>
      <c r="C20" s="583">
        <v>214979</v>
      </c>
      <c r="D20" s="582">
        <v>2530</v>
      </c>
      <c r="E20" s="395">
        <v>-931338</v>
      </c>
      <c r="F20" s="165">
        <v>-500835</v>
      </c>
      <c r="G20" s="165">
        <v>-431424</v>
      </c>
      <c r="H20" s="165">
        <v>-132082</v>
      </c>
      <c r="I20" s="165">
        <v>-166338</v>
      </c>
      <c r="J20" s="165">
        <v>90786</v>
      </c>
    </row>
    <row r="21" spans="1:10">
      <c r="A21" s="97" t="s">
        <v>225</v>
      </c>
      <c r="B21" s="51" t="s">
        <v>226</v>
      </c>
      <c r="C21" s="583">
        <v>441827</v>
      </c>
      <c r="D21" s="714">
        <v>-200525</v>
      </c>
      <c r="E21" s="395">
        <v>-441003</v>
      </c>
      <c r="F21" s="165">
        <v>-74514</v>
      </c>
      <c r="G21" s="165">
        <v>-451149</v>
      </c>
      <c r="H21" s="165">
        <v>-25435</v>
      </c>
      <c r="I21" s="165">
        <v>58353</v>
      </c>
      <c r="J21" s="165">
        <v>11117</v>
      </c>
    </row>
    <row r="22" spans="1:10">
      <c r="A22" s="97" t="s">
        <v>227</v>
      </c>
      <c r="B22" s="51" t="s">
        <v>13</v>
      </c>
      <c r="C22" s="583">
        <v>152343</v>
      </c>
      <c r="D22" s="582">
        <v>148528</v>
      </c>
      <c r="E22" s="395">
        <v>265514</v>
      </c>
      <c r="F22" s="165">
        <v>-1061553</v>
      </c>
      <c r="G22" s="165">
        <v>-190753</v>
      </c>
      <c r="H22" s="165">
        <v>22777</v>
      </c>
      <c r="I22" s="165">
        <v>-63200</v>
      </c>
      <c r="J22" s="165">
        <v>-67733</v>
      </c>
    </row>
    <row r="23" spans="1:10">
      <c r="A23" s="97" t="s">
        <v>228</v>
      </c>
      <c r="B23" s="51" t="s">
        <v>229</v>
      </c>
      <c r="C23" s="712">
        <v>-30560</v>
      </c>
      <c r="D23" s="714">
        <v>-104020</v>
      </c>
      <c r="E23" s="395">
        <v>-206173</v>
      </c>
      <c r="F23" s="165">
        <v>69167</v>
      </c>
      <c r="G23" s="165">
        <v>-37104</v>
      </c>
      <c r="H23" s="165">
        <v>-8262</v>
      </c>
      <c r="I23" s="165">
        <v>8497</v>
      </c>
      <c r="J23" s="165">
        <v>21791</v>
      </c>
    </row>
    <row r="24" spans="1:10">
      <c r="A24" s="97" t="s">
        <v>230</v>
      </c>
      <c r="B24" s="51" t="s">
        <v>231</v>
      </c>
      <c r="C24" s="583">
        <v>15713</v>
      </c>
      <c r="D24" s="582">
        <v>-5607</v>
      </c>
      <c r="E24" s="395">
        <v>6075</v>
      </c>
      <c r="F24" s="165">
        <v>-7860</v>
      </c>
      <c r="G24" s="165">
        <v>15790</v>
      </c>
      <c r="H24" s="165">
        <v>4100</v>
      </c>
      <c r="I24" s="165">
        <v>-20053</v>
      </c>
      <c r="J24" s="165">
        <v>-7079</v>
      </c>
    </row>
    <row r="25" spans="1:10">
      <c r="A25" s="97" t="s">
        <v>232</v>
      </c>
      <c r="B25" s="51" t="s">
        <v>233</v>
      </c>
      <c r="C25" s="583">
        <v>-1532</v>
      </c>
      <c r="D25" s="581">
        <v>442</v>
      </c>
      <c r="E25" s="395">
        <v>704</v>
      </c>
      <c r="F25" s="165">
        <v>9904</v>
      </c>
      <c r="G25" s="165">
        <v>15296</v>
      </c>
      <c r="H25" s="165">
        <v>0</v>
      </c>
      <c r="I25" s="165">
        <v>0</v>
      </c>
      <c r="J25" s="165">
        <v>0</v>
      </c>
    </row>
    <row r="26" spans="1:10">
      <c r="A26" s="97" t="s">
        <v>234</v>
      </c>
      <c r="B26" s="51" t="s">
        <v>28</v>
      </c>
      <c r="C26" s="583">
        <v>18047</v>
      </c>
      <c r="D26" s="582">
        <v>74404</v>
      </c>
      <c r="E26" s="395">
        <v>12900</v>
      </c>
      <c r="F26" s="165">
        <v>-19615</v>
      </c>
      <c r="G26" s="165">
        <v>15352</v>
      </c>
      <c r="H26" s="165">
        <v>-21639</v>
      </c>
      <c r="I26" s="165">
        <v>-49586</v>
      </c>
      <c r="J26" s="165">
        <v>1529</v>
      </c>
    </row>
    <row r="27" spans="1:10">
      <c r="A27" s="97" t="s">
        <v>235</v>
      </c>
      <c r="B27" s="51" t="s">
        <v>70</v>
      </c>
      <c r="C27" s="712">
        <v>-207637</v>
      </c>
      <c r="D27" s="582">
        <v>218471</v>
      </c>
      <c r="E27" s="395">
        <v>-601854</v>
      </c>
      <c r="F27" s="165">
        <v>659992</v>
      </c>
      <c r="G27" s="165">
        <v>178231</v>
      </c>
      <c r="H27" s="165">
        <v>-56863</v>
      </c>
      <c r="I27" s="165">
        <v>-18115</v>
      </c>
      <c r="J27" s="165">
        <v>130919</v>
      </c>
    </row>
    <row r="28" spans="1:10">
      <c r="A28" s="97" t="s">
        <v>236</v>
      </c>
      <c r="B28" s="51" t="s">
        <v>237</v>
      </c>
      <c r="C28" s="583">
        <v>20966</v>
      </c>
      <c r="D28" s="582">
        <v>42891</v>
      </c>
      <c r="E28" s="395">
        <v>139992</v>
      </c>
      <c r="F28" s="165">
        <v>20777</v>
      </c>
      <c r="G28" s="165">
        <v>8002</v>
      </c>
      <c r="H28" s="165">
        <v>-848</v>
      </c>
      <c r="I28" s="165">
        <v>-24700</v>
      </c>
      <c r="J28" s="165">
        <v>25822</v>
      </c>
    </row>
    <row r="29" spans="1:10">
      <c r="A29" s="97" t="s">
        <v>238</v>
      </c>
      <c r="B29" s="51" t="s">
        <v>91</v>
      </c>
      <c r="C29" s="583">
        <v>3086</v>
      </c>
      <c r="D29" s="714">
        <v>-1687</v>
      </c>
      <c r="E29" s="395">
        <v>-2674</v>
      </c>
      <c r="F29" s="165">
        <v>-23041</v>
      </c>
      <c r="G29" s="165">
        <v>55323</v>
      </c>
      <c r="H29" s="165">
        <v>-942</v>
      </c>
      <c r="I29" s="165">
        <v>804</v>
      </c>
      <c r="J29" s="165">
        <v>-3054</v>
      </c>
    </row>
    <row r="30" spans="1:10">
      <c r="A30" s="97" t="s">
        <v>239</v>
      </c>
      <c r="B30" s="51" t="s">
        <v>240</v>
      </c>
      <c r="C30" s="389">
        <v>193</v>
      </c>
      <c r="D30" s="715">
        <v>-128</v>
      </c>
      <c r="E30" s="395">
        <v>0</v>
      </c>
      <c r="F30" s="165">
        <v>0</v>
      </c>
      <c r="G30" s="165">
        <v>0</v>
      </c>
      <c r="H30" s="165">
        <v>0</v>
      </c>
      <c r="I30" s="165">
        <v>0</v>
      </c>
      <c r="J30" s="165">
        <v>0</v>
      </c>
    </row>
    <row r="31" spans="1:10">
      <c r="A31" s="97" t="s">
        <v>241</v>
      </c>
      <c r="B31" s="51" t="s">
        <v>242</v>
      </c>
      <c r="C31" s="712">
        <v>-185862</v>
      </c>
      <c r="D31" s="714">
        <v>-162205</v>
      </c>
      <c r="E31" s="395">
        <v>-100278</v>
      </c>
      <c r="F31" s="165">
        <v>-68264</v>
      </c>
      <c r="G31" s="165">
        <v>-40412</v>
      </c>
      <c r="H31" s="165">
        <v>-63766</v>
      </c>
      <c r="I31" s="165">
        <v>-82795</v>
      </c>
      <c r="J31" s="165">
        <v>-35563</v>
      </c>
    </row>
    <row r="32" spans="1:10">
      <c r="A32" s="97" t="s">
        <v>243</v>
      </c>
      <c r="B32" s="51" t="s">
        <v>244</v>
      </c>
      <c r="C32" s="712">
        <v>-11605</v>
      </c>
      <c r="D32" s="714">
        <v>-8034</v>
      </c>
      <c r="E32" s="395">
        <v>-4541</v>
      </c>
      <c r="F32" s="165">
        <v>-5828</v>
      </c>
      <c r="G32" s="165">
        <v>0</v>
      </c>
      <c r="H32" s="165">
        <v>0</v>
      </c>
      <c r="I32" s="165">
        <v>0</v>
      </c>
      <c r="J32" s="165">
        <v>0</v>
      </c>
    </row>
    <row r="33" spans="1:10">
      <c r="A33" s="97" t="s">
        <v>245</v>
      </c>
      <c r="B33" s="51" t="s">
        <v>24</v>
      </c>
      <c r="C33" s="389">
        <v>0</v>
      </c>
      <c r="D33" s="581">
        <v>0</v>
      </c>
      <c r="E33" s="395">
        <v>0</v>
      </c>
      <c r="F33" s="165">
        <v>0</v>
      </c>
      <c r="G33" s="165">
        <v>0</v>
      </c>
      <c r="H33" s="165">
        <v>0</v>
      </c>
      <c r="I33" s="165">
        <v>0</v>
      </c>
      <c r="J33" s="165">
        <v>0</v>
      </c>
    </row>
    <row r="34" spans="1:10">
      <c r="A34" s="118" t="s">
        <v>246</v>
      </c>
      <c r="B34" s="390" t="s">
        <v>247</v>
      </c>
      <c r="C34" s="708">
        <v>-286526</v>
      </c>
      <c r="D34" s="713">
        <v>-161297</v>
      </c>
      <c r="E34" s="394">
        <v>-155602</v>
      </c>
      <c r="F34" s="261">
        <v>-67034</v>
      </c>
      <c r="G34" s="261">
        <v>-43307</v>
      </c>
      <c r="H34" s="261">
        <v>-31968</v>
      </c>
      <c r="I34" s="261">
        <v>-10853</v>
      </c>
      <c r="J34" s="262">
        <v>-43059</v>
      </c>
    </row>
    <row r="35" spans="1:10">
      <c r="A35" s="97" t="s">
        <v>248</v>
      </c>
      <c r="B35" s="51" t="s">
        <v>249</v>
      </c>
      <c r="C35" s="389">
        <v>0</v>
      </c>
      <c r="D35" s="581">
        <v>0</v>
      </c>
      <c r="E35" s="395">
        <v>0</v>
      </c>
      <c r="F35" s="165">
        <v>0</v>
      </c>
      <c r="G35" s="165">
        <v>0</v>
      </c>
      <c r="H35" s="165">
        <v>0</v>
      </c>
      <c r="I35" s="165">
        <v>0</v>
      </c>
      <c r="J35" s="165">
        <v>0</v>
      </c>
    </row>
    <row r="36" spans="1:10">
      <c r="A36" s="97" t="s">
        <v>250</v>
      </c>
      <c r="B36" s="51" t="s">
        <v>251</v>
      </c>
      <c r="C36" s="712">
        <v>-23196</v>
      </c>
      <c r="D36" s="714">
        <v>-68677</v>
      </c>
      <c r="E36" s="395">
        <v>-72553</v>
      </c>
      <c r="F36" s="165">
        <v>-13501</v>
      </c>
      <c r="G36" s="165">
        <v>-12000</v>
      </c>
      <c r="H36" s="165">
        <v>-12600</v>
      </c>
      <c r="I36" s="165">
        <v>0</v>
      </c>
      <c r="J36" s="165">
        <v>0</v>
      </c>
    </row>
    <row r="37" spans="1:10">
      <c r="A37" s="97" t="s">
        <v>252</v>
      </c>
      <c r="B37" s="51" t="s">
        <v>253</v>
      </c>
      <c r="C37" s="389">
        <v>0</v>
      </c>
      <c r="D37" s="581">
        <v>0</v>
      </c>
      <c r="E37" s="395">
        <v>0</v>
      </c>
      <c r="F37" s="165">
        <v>0</v>
      </c>
      <c r="G37" s="165">
        <v>0</v>
      </c>
      <c r="H37" s="165">
        <v>0</v>
      </c>
      <c r="I37" s="165">
        <v>7673</v>
      </c>
      <c r="J37" s="165">
        <v>0</v>
      </c>
    </row>
    <row r="38" spans="1:10">
      <c r="A38" s="97" t="s">
        <v>254</v>
      </c>
      <c r="B38" s="51" t="s">
        <v>255</v>
      </c>
      <c r="C38" s="712">
        <v>-20886</v>
      </c>
      <c r="D38" s="714">
        <v>-49228</v>
      </c>
      <c r="E38" s="395">
        <v>-35286</v>
      </c>
      <c r="F38" s="165">
        <v>-27481</v>
      </c>
      <c r="G38" s="165">
        <v>-9186</v>
      </c>
      <c r="H38" s="165">
        <v>-5078</v>
      </c>
      <c r="I38" s="165">
        <v>-4283</v>
      </c>
      <c r="J38" s="165">
        <v>-15759</v>
      </c>
    </row>
    <row r="39" spans="1:10">
      <c r="A39" s="97" t="s">
        <v>256</v>
      </c>
      <c r="B39" s="51" t="s">
        <v>257</v>
      </c>
      <c r="C39" s="712">
        <v>-70198</v>
      </c>
      <c r="D39" s="714">
        <v>-36571</v>
      </c>
      <c r="E39" s="395">
        <v>-47763</v>
      </c>
      <c r="F39" s="165">
        <v>-16043</v>
      </c>
      <c r="G39" s="165">
        <v>-22121</v>
      </c>
      <c r="H39" s="165">
        <v>-14290</v>
      </c>
      <c r="I39" s="165">
        <v>-14243</v>
      </c>
      <c r="J39" s="165">
        <v>-27300</v>
      </c>
    </row>
    <row r="40" spans="1:10">
      <c r="A40" s="97" t="s">
        <v>258</v>
      </c>
      <c r="B40" s="51" t="s">
        <v>259</v>
      </c>
      <c r="C40" s="389">
        <v>0</v>
      </c>
      <c r="D40" s="714">
        <v>-7229</v>
      </c>
      <c r="E40" s="395">
        <v>0</v>
      </c>
      <c r="F40" s="165">
        <v>-10009</v>
      </c>
      <c r="G40" s="165">
        <v>0</v>
      </c>
      <c r="H40" s="165">
        <v>0</v>
      </c>
      <c r="I40" s="165">
        <v>0</v>
      </c>
      <c r="J40" s="165">
        <v>0</v>
      </c>
    </row>
    <row r="41" spans="1:10">
      <c r="A41" s="97" t="s">
        <v>260</v>
      </c>
      <c r="B41" s="51" t="s">
        <v>261</v>
      </c>
      <c r="C41" s="712">
        <v>-13123</v>
      </c>
      <c r="D41" s="581">
        <v>0</v>
      </c>
      <c r="E41" s="395">
        <v>0</v>
      </c>
      <c r="F41" s="165">
        <v>0</v>
      </c>
      <c r="G41" s="165">
        <v>0</v>
      </c>
      <c r="H41" s="165">
        <v>0</v>
      </c>
      <c r="I41" s="165">
        <v>0</v>
      </c>
      <c r="J41" s="165">
        <v>0</v>
      </c>
    </row>
    <row r="42" spans="1:10">
      <c r="A42" s="119" t="s">
        <v>262</v>
      </c>
      <c r="B42" s="391" t="s">
        <v>263</v>
      </c>
      <c r="C42" s="614">
        <v>-262982</v>
      </c>
      <c r="D42" s="718">
        <v>-214854</v>
      </c>
      <c r="E42" s="394">
        <v>552079</v>
      </c>
      <c r="F42" s="261">
        <v>28564</v>
      </c>
      <c r="G42" s="261">
        <v>351552</v>
      </c>
      <c r="H42" s="261">
        <v>103155</v>
      </c>
      <c r="I42" s="261">
        <v>80262</v>
      </c>
      <c r="J42" s="262">
        <v>-160362</v>
      </c>
    </row>
    <row r="43" spans="1:10">
      <c r="A43" s="120" t="s">
        <v>264</v>
      </c>
      <c r="B43" s="166" t="s">
        <v>265</v>
      </c>
      <c r="C43" s="578">
        <v>0</v>
      </c>
      <c r="D43" s="581">
        <v>0</v>
      </c>
      <c r="E43" s="395">
        <v>0</v>
      </c>
      <c r="F43" s="165">
        <v>0</v>
      </c>
      <c r="G43" s="165">
        <v>332670</v>
      </c>
      <c r="H43" s="165">
        <v>0</v>
      </c>
      <c r="I43" s="165">
        <v>0</v>
      </c>
      <c r="J43" s="165">
        <v>0</v>
      </c>
    </row>
    <row r="44" spans="1:10">
      <c r="A44" s="120" t="s">
        <v>266</v>
      </c>
      <c r="B44" s="166" t="s">
        <v>267</v>
      </c>
      <c r="C44" s="716">
        <v>-61992</v>
      </c>
      <c r="D44" s="714">
        <v>-77368</v>
      </c>
      <c r="E44" s="395">
        <v>-50329</v>
      </c>
      <c r="F44" s="165">
        <v>-52591</v>
      </c>
      <c r="G44" s="165">
        <v>-5518</v>
      </c>
      <c r="H44" s="165">
        <v>0</v>
      </c>
      <c r="I44" s="165">
        <v>0</v>
      </c>
      <c r="J44" s="165">
        <v>0</v>
      </c>
    </row>
    <row r="45" spans="1:10">
      <c r="A45" s="120" t="s">
        <v>268</v>
      </c>
      <c r="B45" s="166" t="s">
        <v>269</v>
      </c>
      <c r="C45" s="709">
        <v>1153228</v>
      </c>
      <c r="D45" s="582">
        <v>494659</v>
      </c>
      <c r="E45" s="395">
        <v>1198679</v>
      </c>
      <c r="F45" s="165">
        <v>689110</v>
      </c>
      <c r="G45" s="165">
        <v>698105</v>
      </c>
      <c r="H45" s="165">
        <v>727649</v>
      </c>
      <c r="I45" s="165">
        <v>628394</v>
      </c>
      <c r="J45" s="165">
        <v>647266</v>
      </c>
    </row>
    <row r="46" spans="1:10">
      <c r="A46" s="120" t="s">
        <v>270</v>
      </c>
      <c r="B46" s="166" t="s">
        <v>271</v>
      </c>
      <c r="C46" s="716">
        <v>-1321355</v>
      </c>
      <c r="D46" s="714">
        <v>-622569</v>
      </c>
      <c r="E46" s="395">
        <v>-575486</v>
      </c>
      <c r="F46" s="165">
        <v>-588090</v>
      </c>
      <c r="G46" s="165">
        <v>-658452</v>
      </c>
      <c r="H46" s="165">
        <v>-616552</v>
      </c>
      <c r="I46" s="165">
        <v>-543148</v>
      </c>
      <c r="J46" s="165">
        <v>0</v>
      </c>
    </row>
    <row r="47" spans="1:10">
      <c r="A47" s="120" t="s">
        <v>272</v>
      </c>
      <c r="B47" s="166" t="s">
        <v>273</v>
      </c>
      <c r="C47" s="716">
        <v>-11352</v>
      </c>
      <c r="D47" s="714">
        <v>-11381</v>
      </c>
      <c r="E47" s="395">
        <v>-10267</v>
      </c>
      <c r="F47" s="165">
        <v>-8604</v>
      </c>
      <c r="G47" s="165">
        <v>0</v>
      </c>
      <c r="H47" s="165">
        <v>0</v>
      </c>
      <c r="I47" s="165">
        <v>0</v>
      </c>
      <c r="J47" s="165">
        <v>-813339</v>
      </c>
    </row>
    <row r="48" spans="1:10">
      <c r="A48" s="120" t="s">
        <v>274</v>
      </c>
      <c r="B48" s="166" t="s">
        <v>275</v>
      </c>
      <c r="C48" s="578">
        <v>0</v>
      </c>
      <c r="D48" s="581">
        <v>0</v>
      </c>
      <c r="E48" s="395">
        <v>0</v>
      </c>
      <c r="F48" s="165">
        <v>0</v>
      </c>
      <c r="G48" s="165">
        <v>0</v>
      </c>
      <c r="H48" s="165">
        <v>0</v>
      </c>
      <c r="I48" s="165">
        <v>0</v>
      </c>
      <c r="J48" s="165">
        <v>20318</v>
      </c>
    </row>
    <row r="49" spans="1:10">
      <c r="A49" s="120" t="s">
        <v>276</v>
      </c>
      <c r="B49" s="166" t="s">
        <v>277</v>
      </c>
      <c r="C49" s="716">
        <v>-9201</v>
      </c>
      <c r="D49" s="581">
        <v>0</v>
      </c>
      <c r="E49" s="395">
        <v>0</v>
      </c>
      <c r="F49" s="165">
        <v>-14632</v>
      </c>
      <c r="G49" s="165">
        <v>-1901</v>
      </c>
      <c r="H49" s="165">
        <v>0</v>
      </c>
      <c r="I49" s="165">
        <v>0</v>
      </c>
      <c r="J49" s="165">
        <v>0</v>
      </c>
    </row>
    <row r="50" spans="1:10">
      <c r="A50" s="120" t="s">
        <v>278</v>
      </c>
      <c r="B50" s="166" t="s">
        <v>279</v>
      </c>
      <c r="C50" s="709">
        <v>2799</v>
      </c>
      <c r="D50" s="581">
        <v>585</v>
      </c>
      <c r="E50" s="395">
        <v>983</v>
      </c>
      <c r="F50" s="165">
        <v>3371</v>
      </c>
      <c r="G50" s="165">
        <v>394</v>
      </c>
      <c r="H50" s="165">
        <v>0</v>
      </c>
      <c r="I50" s="165">
        <v>0</v>
      </c>
      <c r="J50" s="165">
        <v>0</v>
      </c>
    </row>
    <row r="51" spans="1:10">
      <c r="A51" s="120" t="s">
        <v>280</v>
      </c>
      <c r="B51" s="51" t="s">
        <v>281</v>
      </c>
      <c r="C51" s="712">
        <v>-1937</v>
      </c>
      <c r="D51" s="582">
        <v>1220</v>
      </c>
      <c r="E51" s="395">
        <v>-1354</v>
      </c>
      <c r="F51" s="165">
        <v>0</v>
      </c>
      <c r="G51" s="165">
        <v>394</v>
      </c>
      <c r="H51" s="165">
        <v>-2460</v>
      </c>
      <c r="I51" s="165">
        <v>-4029</v>
      </c>
      <c r="J51" s="165">
        <v>-13684</v>
      </c>
    </row>
    <row r="52" spans="1:10">
      <c r="A52" s="120" t="s">
        <v>282</v>
      </c>
      <c r="B52" s="51" t="s">
        <v>259</v>
      </c>
      <c r="C52" s="712">
        <v>-13172</v>
      </c>
      <c r="D52" s="581">
        <v>0</v>
      </c>
      <c r="E52" s="395">
        <v>-10147</v>
      </c>
      <c r="F52" s="165">
        <v>0</v>
      </c>
      <c r="G52" s="165">
        <v>-5331</v>
      </c>
      <c r="H52" s="165">
        <v>0</v>
      </c>
      <c r="I52" s="165">
        <v>0</v>
      </c>
      <c r="J52" s="165">
        <v>0</v>
      </c>
    </row>
    <row r="53" spans="1:10">
      <c r="A53" s="121" t="s">
        <v>283</v>
      </c>
      <c r="B53" s="392" t="s">
        <v>284</v>
      </c>
      <c r="C53" s="719">
        <v>-4018</v>
      </c>
      <c r="D53" s="717">
        <v>216</v>
      </c>
      <c r="E53" s="396">
        <v>1061</v>
      </c>
      <c r="F53" s="262">
        <v>-937</v>
      </c>
      <c r="G53" s="262">
        <v>-1141</v>
      </c>
      <c r="H53" s="262">
        <v>-150</v>
      </c>
      <c r="I53" s="262">
        <v>676</v>
      </c>
      <c r="J53" s="262">
        <v>291</v>
      </c>
    </row>
    <row r="54" spans="1:10">
      <c r="A54" s="122" t="s">
        <v>285</v>
      </c>
      <c r="B54" s="393" t="s">
        <v>286</v>
      </c>
      <c r="C54" s="720">
        <v>-24446</v>
      </c>
      <c r="D54" s="710">
        <v>164799</v>
      </c>
      <c r="E54" s="394">
        <v>67569</v>
      </c>
      <c r="F54" s="289">
        <v>-185155</v>
      </c>
      <c r="G54" s="289">
        <v>83448</v>
      </c>
      <c r="H54" s="289">
        <v>67366</v>
      </c>
      <c r="I54" s="289">
        <v>5522</v>
      </c>
      <c r="J54" s="262">
        <v>-90550</v>
      </c>
    </row>
    <row r="55" spans="1:10">
      <c r="A55" s="97" t="s">
        <v>287</v>
      </c>
      <c r="B55" s="51" t="s">
        <v>288</v>
      </c>
      <c r="C55" s="583">
        <v>591375</v>
      </c>
      <c r="D55" s="582">
        <v>426576</v>
      </c>
      <c r="E55" s="395">
        <v>359007</v>
      </c>
      <c r="F55" s="165">
        <v>544162</v>
      </c>
      <c r="G55" s="165">
        <v>460714</v>
      </c>
      <c r="H55" s="165">
        <v>393348</v>
      </c>
      <c r="I55" s="165">
        <v>387826</v>
      </c>
      <c r="J55" s="165">
        <v>478376</v>
      </c>
    </row>
    <row r="56" spans="1:10">
      <c r="A56" s="97" t="s">
        <v>289</v>
      </c>
      <c r="B56" s="51" t="s">
        <v>290</v>
      </c>
      <c r="C56" s="583">
        <v>566929</v>
      </c>
      <c r="D56" s="582">
        <v>591375</v>
      </c>
      <c r="E56" s="395">
        <v>426576</v>
      </c>
      <c r="F56" s="165">
        <v>359007</v>
      </c>
      <c r="G56" s="165">
        <v>544162</v>
      </c>
      <c r="H56" s="165">
        <v>460714</v>
      </c>
      <c r="I56" s="165">
        <v>393348</v>
      </c>
      <c r="J56" s="165">
        <v>387826</v>
      </c>
    </row>
    <row r="57" spans="1:10">
      <c r="E57" s="114"/>
    </row>
    <row r="58" spans="1:10">
      <c r="E58" s="114"/>
    </row>
    <row r="59" spans="1:10">
      <c r="E59" s="115"/>
    </row>
    <row r="60" spans="1:10">
      <c r="E60" s="115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03AF-6632-46E2-872B-21DEE0803A15}">
  <dimension ref="A1:Z56"/>
  <sheetViews>
    <sheetView workbookViewId="0">
      <pane xSplit="2" topLeftCell="C24" activePane="topRight" state="frozen"/>
      <selection pane="topRight" activeCell="A6" sqref="A6:Z56"/>
    </sheetView>
  </sheetViews>
  <sheetFormatPr defaultRowHeight="15"/>
  <cols>
    <col min="1" max="1" width="15.7109375" bestFit="1" customWidth="1"/>
    <col min="2" max="2" width="64.28515625" bestFit="1" customWidth="1"/>
    <col min="3" max="3" width="11.140625" bestFit="1" customWidth="1"/>
    <col min="4" max="5" width="11.140625" customWidth="1"/>
    <col min="6" max="6" width="8.85546875" bestFit="1" customWidth="1"/>
    <col min="7" max="7" width="11" customWidth="1"/>
    <col min="9" max="9" width="10.5703125" customWidth="1"/>
    <col min="10" max="10" width="11.42578125" customWidth="1"/>
    <col min="12" max="13" width="11" bestFit="1" customWidth="1"/>
    <col min="16" max="16" width="11" bestFit="1" customWidth="1"/>
    <col min="19" max="19" width="11" bestFit="1" customWidth="1"/>
    <col min="20" max="20" width="10.28515625" bestFit="1" customWidth="1"/>
    <col min="22" max="22" width="11" bestFit="1" customWidth="1"/>
    <col min="23" max="23" width="9.7109375" bestFit="1" customWidth="1"/>
    <col min="26" max="26" width="9.7109375" bestFit="1" customWidth="1"/>
  </cols>
  <sheetData>
    <row r="1" spans="1:26">
      <c r="A1" s="796" t="s">
        <v>291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</row>
    <row r="2" spans="1:26" s="40" customFormat="1">
      <c r="A2" s="116" t="s">
        <v>1</v>
      </c>
      <c r="B2" s="721" t="s">
        <v>2</v>
      </c>
      <c r="C2" s="752">
        <v>2024</v>
      </c>
      <c r="D2" s="753" t="s">
        <v>292</v>
      </c>
      <c r="E2" s="753" t="s">
        <v>293</v>
      </c>
      <c r="F2" s="754">
        <v>2023</v>
      </c>
      <c r="G2" s="755" t="s">
        <v>294</v>
      </c>
      <c r="H2" s="755" t="s">
        <v>295</v>
      </c>
      <c r="I2" s="724">
        <v>2022</v>
      </c>
      <c r="J2" s="725" t="s">
        <v>296</v>
      </c>
      <c r="K2" s="725" t="s">
        <v>297</v>
      </c>
      <c r="L2" s="726">
        <v>2021</v>
      </c>
      <c r="M2" s="726" t="s">
        <v>298</v>
      </c>
      <c r="N2" s="726" t="s">
        <v>299</v>
      </c>
      <c r="O2" s="732">
        <v>2020</v>
      </c>
      <c r="P2" s="732" t="s">
        <v>300</v>
      </c>
      <c r="Q2" s="732" t="s">
        <v>301</v>
      </c>
      <c r="R2" s="738">
        <v>2019</v>
      </c>
      <c r="S2" s="738" t="s">
        <v>302</v>
      </c>
      <c r="T2" s="738" t="s">
        <v>303</v>
      </c>
      <c r="U2" s="744">
        <v>2018</v>
      </c>
      <c r="V2" s="744" t="s">
        <v>304</v>
      </c>
      <c r="W2" s="744" t="s">
        <v>305</v>
      </c>
      <c r="X2" s="750">
        <v>2017</v>
      </c>
      <c r="Y2" s="756" t="s">
        <v>306</v>
      </c>
      <c r="Z2" s="756" t="s">
        <v>307</v>
      </c>
    </row>
    <row r="3" spans="1:26" s="40" customFormat="1">
      <c r="A3" s="118" t="s">
        <v>189</v>
      </c>
      <c r="B3" s="757" t="s">
        <v>190</v>
      </c>
      <c r="C3" s="758">
        <v>529080</v>
      </c>
      <c r="D3" s="759">
        <f>(C3/X3)*Y3</f>
        <v>469.95914016699237</v>
      </c>
      <c r="E3" s="760">
        <f>C3/$C$3</f>
        <v>1</v>
      </c>
      <c r="F3" s="761">
        <v>540734</v>
      </c>
      <c r="G3" s="762">
        <f>(F3/X3)*Y3</f>
        <v>480.31089003375376</v>
      </c>
      <c r="H3" s="763">
        <f>F3/$F$3</f>
        <v>1</v>
      </c>
      <c r="I3" s="764">
        <v>-329969</v>
      </c>
      <c r="J3" s="765">
        <f>(I3/X3)*Y3</f>
        <v>-293.09735299342691</v>
      </c>
      <c r="K3" s="766">
        <f>I3/$I$3</f>
        <v>1</v>
      </c>
      <c r="L3" s="727">
        <v>-145748</v>
      </c>
      <c r="M3" s="728">
        <f>(L3/X3)*Y3</f>
        <v>-129.46171611298632</v>
      </c>
      <c r="N3" s="729">
        <f>L3/$L$3</f>
        <v>1</v>
      </c>
      <c r="O3" s="733">
        <v>-223656</v>
      </c>
      <c r="P3" s="734">
        <f>(O3/X3)*Y3</f>
        <v>-198.66406111209807</v>
      </c>
      <c r="Q3" s="735">
        <f>O3/$O$3</f>
        <v>1</v>
      </c>
      <c r="R3" s="739">
        <v>-3671</v>
      </c>
      <c r="S3" s="740">
        <f>(R3/X3)*Y3</f>
        <v>-3.2607923254574525</v>
      </c>
      <c r="T3" s="741">
        <f>R3/$R$3</f>
        <v>1</v>
      </c>
      <c r="U3" s="745">
        <v>-64563</v>
      </c>
      <c r="V3" s="746">
        <f>(U3/X3)*Y3</f>
        <v>-57.348552140699951</v>
      </c>
      <c r="W3" s="747">
        <f>U3/$U$3</f>
        <v>1</v>
      </c>
      <c r="X3" s="751">
        <v>112580</v>
      </c>
      <c r="Y3" s="767">
        <v>100</v>
      </c>
      <c r="Z3" s="768">
        <f>X3/$X$3</f>
        <v>1</v>
      </c>
    </row>
    <row r="4" spans="1:26" s="40" customFormat="1">
      <c r="A4" s="97" t="s">
        <v>191</v>
      </c>
      <c r="B4" s="769" t="s">
        <v>192</v>
      </c>
      <c r="C4" s="770">
        <v>314101</v>
      </c>
      <c r="D4" s="759">
        <f t="shared" ref="D4:D56" si="0">(C4/X4)*Y4</f>
        <v>1441.226943195375</v>
      </c>
      <c r="E4" s="760">
        <f t="shared" ref="E4:E56" si="1">C4/$C$3</f>
        <v>0.5936739245482725</v>
      </c>
      <c r="F4" s="771">
        <v>538204</v>
      </c>
      <c r="G4" s="762">
        <f t="shared" ref="G4:G56" si="2">(F4/X4)*Y4</f>
        <v>2469.5053684500322</v>
      </c>
      <c r="H4" s="763">
        <f t="shared" ref="H4:H56" si="3">F4/$F$3</f>
        <v>0.99532117455162794</v>
      </c>
      <c r="I4" s="772">
        <v>601369</v>
      </c>
      <c r="J4" s="765">
        <f t="shared" ref="J4:J56" si="4">(I4/X4)*Y4</f>
        <v>2759.3328439019915</v>
      </c>
      <c r="K4" s="766">
        <f t="shared" ref="K4:K56" si="5">I4/$I$3</f>
        <v>-1.8225015077173916</v>
      </c>
      <c r="L4" s="730">
        <v>355087</v>
      </c>
      <c r="M4" s="728">
        <f t="shared" ref="M4:M56" si="6">(L4/X4)*Y4</f>
        <v>1629.2878773974489</v>
      </c>
      <c r="N4" s="729">
        <f t="shared" ref="N4:N56" si="7">L4/$L$3</f>
        <v>-2.4363078738644783</v>
      </c>
      <c r="O4" s="736">
        <v>207768</v>
      </c>
      <c r="P4" s="734">
        <f t="shared" ref="P4:P56" si="8">(O4/X4)*Y4</f>
        <v>953.32660365238144</v>
      </c>
      <c r="Q4" s="735">
        <f t="shared" ref="Q4:Q56" si="9">O4/$O$3</f>
        <v>-0.92896233501448655</v>
      </c>
      <c r="R4" s="742">
        <v>128411</v>
      </c>
      <c r="S4" s="740">
        <f t="shared" ref="S4:S56" si="10">(R4/X4)*Y4</f>
        <v>589.20345049096079</v>
      </c>
      <c r="T4" s="741">
        <f t="shared" ref="T4:T56" si="11">R4/$R$3</f>
        <v>-34.979842004903297</v>
      </c>
      <c r="U4" s="748">
        <v>101775</v>
      </c>
      <c r="V4" s="746">
        <f t="shared" ref="V4:V56" si="12">(U4/X4)*Y4</f>
        <v>466.98632651188399</v>
      </c>
      <c r="W4" s="747">
        <f t="shared" ref="W4:W56" si="13">U4/$U$3</f>
        <v>-1.5763672691789414</v>
      </c>
      <c r="X4" s="722">
        <v>21794</v>
      </c>
      <c r="Y4" s="767">
        <v>100</v>
      </c>
      <c r="Z4" s="768">
        <f t="shared" ref="Z4:Z56" si="14">X4/$X$3</f>
        <v>0.19358678273227928</v>
      </c>
    </row>
    <row r="5" spans="1:26" s="40" customFormat="1">
      <c r="A5" s="97" t="s">
        <v>193</v>
      </c>
      <c r="B5" s="769" t="s">
        <v>194</v>
      </c>
      <c r="C5" s="770">
        <v>85038</v>
      </c>
      <c r="D5" s="759">
        <f t="shared" si="0"/>
        <v>-178.83535572332863</v>
      </c>
      <c r="E5" s="760">
        <f t="shared" si="1"/>
        <v>0.16072805624858244</v>
      </c>
      <c r="F5" s="771">
        <v>250882</v>
      </c>
      <c r="G5" s="762">
        <f t="shared" si="2"/>
        <v>-527.60614918718852</v>
      </c>
      <c r="H5" s="763">
        <f t="shared" si="3"/>
        <v>0.46396564669504786</v>
      </c>
      <c r="I5" s="772">
        <v>306357</v>
      </c>
      <c r="J5" s="765">
        <f t="shared" si="4"/>
        <v>-644.27036234779496</v>
      </c>
      <c r="K5" s="766">
        <f t="shared" si="5"/>
        <v>-0.92844176271104251</v>
      </c>
      <c r="L5" s="730">
        <v>202896</v>
      </c>
      <c r="M5" s="728">
        <f t="shared" si="6"/>
        <v>-426.69134192761459</v>
      </c>
      <c r="N5" s="729">
        <f t="shared" si="7"/>
        <v>-1.392101435354173</v>
      </c>
      <c r="O5" s="736">
        <v>195842</v>
      </c>
      <c r="P5" s="734">
        <f t="shared" si="8"/>
        <v>-411.85674328615596</v>
      </c>
      <c r="Q5" s="735">
        <f t="shared" si="9"/>
        <v>-0.8756393747540866</v>
      </c>
      <c r="R5" s="742">
        <v>20848</v>
      </c>
      <c r="S5" s="740">
        <f t="shared" si="10"/>
        <v>-43.843452293327161</v>
      </c>
      <c r="T5" s="741">
        <f t="shared" si="11"/>
        <v>-5.679106510487606</v>
      </c>
      <c r="U5" s="748">
        <v>-461</v>
      </c>
      <c r="V5" s="746">
        <f t="shared" si="12"/>
        <v>0.9694853946289248</v>
      </c>
      <c r="W5" s="747">
        <f t="shared" si="13"/>
        <v>7.1403125629230365E-3</v>
      </c>
      <c r="X5" s="722">
        <v>-47551</v>
      </c>
      <c r="Y5" s="767">
        <v>100</v>
      </c>
      <c r="Z5" s="768">
        <f t="shared" si="14"/>
        <v>-0.42237519985787886</v>
      </c>
    </row>
    <row r="6" spans="1:26" s="40" customFormat="1">
      <c r="A6" s="97" t="s">
        <v>195</v>
      </c>
      <c r="B6" s="769" t="s">
        <v>196</v>
      </c>
      <c r="C6" s="770">
        <v>57417</v>
      </c>
      <c r="D6" s="759">
        <f t="shared" si="0"/>
        <v>179.43373230413451</v>
      </c>
      <c r="E6" s="760">
        <f t="shared" si="1"/>
        <v>0.10852234066681787</v>
      </c>
      <c r="F6" s="771">
        <v>56230</v>
      </c>
      <c r="G6" s="762">
        <f t="shared" si="2"/>
        <v>175.7242413825432</v>
      </c>
      <c r="H6" s="763">
        <f t="shared" si="3"/>
        <v>0.10398828259365973</v>
      </c>
      <c r="I6" s="772">
        <v>49891</v>
      </c>
      <c r="J6" s="765">
        <f t="shared" si="4"/>
        <v>155.91424732022875</v>
      </c>
      <c r="K6" s="766">
        <f t="shared" si="5"/>
        <v>-0.15119905203216061</v>
      </c>
      <c r="L6" s="730">
        <v>42344</v>
      </c>
      <c r="M6" s="728">
        <f t="shared" si="6"/>
        <v>132.32913528547766</v>
      </c>
      <c r="N6" s="729">
        <f t="shared" si="7"/>
        <v>-0.29052885802892664</v>
      </c>
      <c r="O6" s="736">
        <v>46102</v>
      </c>
      <c r="P6" s="734">
        <f t="shared" si="8"/>
        <v>144.07325228913405</v>
      </c>
      <c r="Q6" s="735">
        <f t="shared" si="9"/>
        <v>-0.20612905533497872</v>
      </c>
      <c r="R6" s="742">
        <v>35995</v>
      </c>
      <c r="S6" s="740">
        <f t="shared" si="10"/>
        <v>112.4878902465702</v>
      </c>
      <c r="T6" s="741">
        <f t="shared" si="11"/>
        <v>-9.8052301825115773</v>
      </c>
      <c r="U6" s="748">
        <v>32586</v>
      </c>
      <c r="V6" s="746">
        <f t="shared" si="12"/>
        <v>101.83443232601019</v>
      </c>
      <c r="W6" s="747">
        <f t="shared" si="13"/>
        <v>-0.50471632359091123</v>
      </c>
      <c r="X6" s="722">
        <v>31999</v>
      </c>
      <c r="Y6" s="767">
        <v>100</v>
      </c>
      <c r="Z6" s="768">
        <f t="shared" si="14"/>
        <v>0.28423343400248713</v>
      </c>
    </row>
    <row r="7" spans="1:26" s="40" customFormat="1">
      <c r="A7" s="97" t="s">
        <v>197</v>
      </c>
      <c r="B7" s="769" t="s">
        <v>198</v>
      </c>
      <c r="C7" s="770">
        <v>7665</v>
      </c>
      <c r="D7" s="759">
        <f t="shared" si="0"/>
        <v>125.14285714285714</v>
      </c>
      <c r="E7" s="760">
        <f t="shared" si="1"/>
        <v>1.448741211158993E-2</v>
      </c>
      <c r="F7" s="771">
        <v>6557</v>
      </c>
      <c r="G7" s="762">
        <f t="shared" si="2"/>
        <v>107.05306122448978</v>
      </c>
      <c r="H7" s="763">
        <f t="shared" si="3"/>
        <v>1.2126110065207663E-2</v>
      </c>
      <c r="I7" s="772">
        <v>8270</v>
      </c>
      <c r="J7" s="765">
        <f t="shared" si="4"/>
        <v>135.0204081632653</v>
      </c>
      <c r="K7" s="766">
        <f t="shared" si="5"/>
        <v>-2.5062960459921992E-2</v>
      </c>
      <c r="L7" s="730">
        <v>-4158</v>
      </c>
      <c r="M7" s="728">
        <f t="shared" si="6"/>
        <v>-67.885714285714286</v>
      </c>
      <c r="N7" s="729">
        <f t="shared" si="7"/>
        <v>2.8528693361143893E-2</v>
      </c>
      <c r="O7" s="736">
        <v>-1124</v>
      </c>
      <c r="P7" s="734">
        <f t="shared" si="8"/>
        <v>-18.351020408163265</v>
      </c>
      <c r="Q7" s="735">
        <f t="shared" si="9"/>
        <v>5.0255749901634656E-3</v>
      </c>
      <c r="R7" s="742">
        <v>2048</v>
      </c>
      <c r="S7" s="740">
        <f t="shared" si="10"/>
        <v>33.436734693877554</v>
      </c>
      <c r="T7" s="741">
        <f t="shared" si="11"/>
        <v>-0.55788613456823755</v>
      </c>
      <c r="U7" s="748">
        <v>2927</v>
      </c>
      <c r="V7" s="746">
        <f t="shared" si="12"/>
        <v>47.787755102040819</v>
      </c>
      <c r="W7" s="747">
        <f t="shared" si="13"/>
        <v>-4.5335563712962532E-2</v>
      </c>
      <c r="X7" s="722">
        <v>6125</v>
      </c>
      <c r="Y7" s="767">
        <v>100</v>
      </c>
      <c r="Z7" s="768">
        <f t="shared" si="14"/>
        <v>5.4405755906910644E-2</v>
      </c>
    </row>
    <row r="8" spans="1:26" s="40" customFormat="1">
      <c r="A8" s="97" t="s">
        <v>199</v>
      </c>
      <c r="B8" s="769" t="s">
        <v>200</v>
      </c>
      <c r="C8" s="773">
        <v>-26243</v>
      </c>
      <c r="D8" s="759">
        <f t="shared" si="0"/>
        <v>68.107027924841688</v>
      </c>
      <c r="E8" s="760">
        <f t="shared" si="1"/>
        <v>-4.9601194526347619E-2</v>
      </c>
      <c r="F8" s="774">
        <v>-44979</v>
      </c>
      <c r="G8" s="762">
        <f t="shared" si="2"/>
        <v>116.73154780442229</v>
      </c>
      <c r="H8" s="763">
        <f t="shared" si="3"/>
        <v>-8.3181379384318355E-2</v>
      </c>
      <c r="I8" s="772">
        <v>-155260</v>
      </c>
      <c r="J8" s="765">
        <f t="shared" si="4"/>
        <v>402.93781791757499</v>
      </c>
      <c r="K8" s="766">
        <f t="shared" si="5"/>
        <v>0.47052904969860804</v>
      </c>
      <c r="L8" s="730">
        <v>-35656</v>
      </c>
      <c r="M8" s="728">
        <f t="shared" si="6"/>
        <v>92.53607391259213</v>
      </c>
      <c r="N8" s="729">
        <f t="shared" si="7"/>
        <v>0.24464143590306556</v>
      </c>
      <c r="O8" s="736">
        <v>-23551</v>
      </c>
      <c r="P8" s="734">
        <f t="shared" si="8"/>
        <v>61.120627011315264</v>
      </c>
      <c r="Q8" s="735">
        <f t="shared" si="9"/>
        <v>0.10530010373072933</v>
      </c>
      <c r="R8" s="742">
        <v>-8549</v>
      </c>
      <c r="S8" s="740">
        <f t="shared" si="10"/>
        <v>22.186753866915808</v>
      </c>
      <c r="T8" s="741">
        <f t="shared" si="11"/>
        <v>2.3287932443475894</v>
      </c>
      <c r="U8" s="748">
        <v>13083</v>
      </c>
      <c r="V8" s="746">
        <f t="shared" si="12"/>
        <v>-33.953597010277171</v>
      </c>
      <c r="W8" s="747">
        <f t="shared" si="13"/>
        <v>-0.20263928256121927</v>
      </c>
      <c r="X8" s="722">
        <v>-38532</v>
      </c>
      <c r="Y8" s="767">
        <v>100</v>
      </c>
      <c r="Z8" s="768">
        <f t="shared" si="14"/>
        <v>-0.34226327944572749</v>
      </c>
    </row>
    <row r="9" spans="1:26" s="40" customFormat="1">
      <c r="A9" s="97" t="s">
        <v>201</v>
      </c>
      <c r="B9" s="769" t="s">
        <v>202</v>
      </c>
      <c r="C9" s="770">
        <v>156059</v>
      </c>
      <c r="D9" s="759">
        <f t="shared" si="0"/>
        <v>-14667.199248120301</v>
      </c>
      <c r="E9" s="760">
        <f t="shared" si="1"/>
        <v>0.29496295456263705</v>
      </c>
      <c r="F9" s="771">
        <v>7714</v>
      </c>
      <c r="G9" s="762">
        <f t="shared" si="2"/>
        <v>-725</v>
      </c>
      <c r="H9" s="763">
        <f t="shared" si="3"/>
        <v>1.426579427222997E-2</v>
      </c>
      <c r="I9" s="772">
        <v>11645</v>
      </c>
      <c r="J9" s="765">
        <f t="shared" si="4"/>
        <v>-1094.4548872180451</v>
      </c>
      <c r="K9" s="766">
        <f t="shared" si="5"/>
        <v>-3.5291194021256543E-2</v>
      </c>
      <c r="L9" s="730">
        <v>11488</v>
      </c>
      <c r="M9" s="728">
        <f t="shared" si="6"/>
        <v>-1079.6992481203008</v>
      </c>
      <c r="N9" s="729">
        <f t="shared" si="7"/>
        <v>-7.8820978675522138E-2</v>
      </c>
      <c r="O9" s="736">
        <v>4717</v>
      </c>
      <c r="P9" s="734">
        <f t="shared" si="8"/>
        <v>-443.32706766917295</v>
      </c>
      <c r="Q9" s="735">
        <f t="shared" si="9"/>
        <v>-2.1090424580605931E-2</v>
      </c>
      <c r="R9" s="742">
        <v>-1868</v>
      </c>
      <c r="S9" s="740">
        <f t="shared" si="10"/>
        <v>175.5639097744361</v>
      </c>
      <c r="T9" s="741">
        <f t="shared" si="11"/>
        <v>0.50885317352220105</v>
      </c>
      <c r="U9" s="748">
        <v>-1419</v>
      </c>
      <c r="V9" s="746">
        <f t="shared" si="12"/>
        <v>133.36466165413535</v>
      </c>
      <c r="W9" s="747">
        <f t="shared" si="13"/>
        <v>2.1978532596068957E-2</v>
      </c>
      <c r="X9" s="722">
        <v>-1064</v>
      </c>
      <c r="Y9" s="767">
        <v>100</v>
      </c>
      <c r="Z9" s="768">
        <f t="shared" si="14"/>
        <v>-9.4510570261147637E-3</v>
      </c>
    </row>
    <row r="10" spans="1:26" s="40" customFormat="1">
      <c r="A10" s="97" t="s">
        <v>203</v>
      </c>
      <c r="B10" s="769" t="s">
        <v>204</v>
      </c>
      <c r="C10" s="773">
        <v>-1078</v>
      </c>
      <c r="D10" s="759">
        <f t="shared" si="0"/>
        <v>-13.605957339391644</v>
      </c>
      <c r="E10" s="760">
        <f t="shared" si="1"/>
        <v>-2.0374990549633324E-3</v>
      </c>
      <c r="F10" s="771">
        <v>7655</v>
      </c>
      <c r="G10" s="762">
        <f t="shared" si="2"/>
        <v>96.617442887795022</v>
      </c>
      <c r="H10" s="763">
        <f t="shared" si="3"/>
        <v>1.4156683323038684E-2</v>
      </c>
      <c r="I10" s="772">
        <v>50824</v>
      </c>
      <c r="J10" s="765">
        <f t="shared" si="4"/>
        <v>641.47418906979681</v>
      </c>
      <c r="K10" s="766">
        <f t="shared" si="5"/>
        <v>-0.15402659037667174</v>
      </c>
      <c r="L10" s="730">
        <v>7401</v>
      </c>
      <c r="M10" s="728">
        <f t="shared" si="6"/>
        <v>93.411586520257487</v>
      </c>
      <c r="N10" s="729">
        <f t="shared" si="7"/>
        <v>-5.0779427505008648E-2</v>
      </c>
      <c r="O10" s="736">
        <v>11252</v>
      </c>
      <c r="P10" s="734">
        <f t="shared" si="8"/>
        <v>142.01691278556103</v>
      </c>
      <c r="Q10" s="735">
        <f t="shared" si="9"/>
        <v>-5.030940372715241E-2</v>
      </c>
      <c r="R10" s="742">
        <v>2582</v>
      </c>
      <c r="S10" s="740">
        <f t="shared" si="10"/>
        <v>32.58866590937776</v>
      </c>
      <c r="T10" s="741">
        <f t="shared" si="11"/>
        <v>-0.70335058567147912</v>
      </c>
      <c r="U10" s="748">
        <v>7045</v>
      </c>
      <c r="V10" s="746">
        <f t="shared" si="12"/>
        <v>88.918339013000121</v>
      </c>
      <c r="W10" s="747">
        <f t="shared" si="13"/>
        <v>-0.109118225609095</v>
      </c>
      <c r="X10" s="722">
        <v>7923</v>
      </c>
      <c r="Y10" s="767">
        <v>100</v>
      </c>
      <c r="Z10" s="768">
        <f t="shared" si="14"/>
        <v>7.0376621069461714E-2</v>
      </c>
    </row>
    <row r="11" spans="1:26" s="40" customFormat="1">
      <c r="A11" s="97" t="s">
        <v>205</v>
      </c>
      <c r="B11" s="769" t="s">
        <v>206</v>
      </c>
      <c r="C11" s="770">
        <v>9124</v>
      </c>
      <c r="D11" s="759">
        <f t="shared" si="0"/>
        <v>59.028271980332534</v>
      </c>
      <c r="E11" s="760">
        <f t="shared" si="1"/>
        <v>1.7245029107129356E-2</v>
      </c>
      <c r="F11" s="774">
        <v>-2433</v>
      </c>
      <c r="G11" s="762">
        <f t="shared" si="2"/>
        <v>-15.740441224040888</v>
      </c>
      <c r="H11" s="763">
        <f t="shared" si="3"/>
        <v>-4.4994396505490687E-3</v>
      </c>
      <c r="I11" s="772">
        <v>30934</v>
      </c>
      <c r="J11" s="765">
        <f t="shared" si="4"/>
        <v>200.12939121433652</v>
      </c>
      <c r="K11" s="766">
        <f t="shared" si="5"/>
        <v>-9.3748200588540137E-2</v>
      </c>
      <c r="L11" s="730">
        <v>20827</v>
      </c>
      <c r="M11" s="728">
        <f t="shared" si="6"/>
        <v>134.74154104936275</v>
      </c>
      <c r="N11" s="729">
        <f t="shared" si="7"/>
        <v>-0.14289732963745644</v>
      </c>
      <c r="O11" s="736">
        <v>23802</v>
      </c>
      <c r="P11" s="734">
        <f t="shared" si="8"/>
        <v>153.98848418192406</v>
      </c>
      <c r="Q11" s="735">
        <f t="shared" si="9"/>
        <v>-0.10642236291447581</v>
      </c>
      <c r="R11" s="742">
        <v>-1867</v>
      </c>
      <c r="S11" s="740">
        <f t="shared" si="10"/>
        <v>-12.078669858316621</v>
      </c>
      <c r="T11" s="741">
        <f t="shared" si="11"/>
        <v>0.50858076818305642</v>
      </c>
      <c r="U11" s="748">
        <v>1266</v>
      </c>
      <c r="V11" s="746">
        <f t="shared" si="12"/>
        <v>8.1904638675033965</v>
      </c>
      <c r="W11" s="747">
        <f t="shared" si="13"/>
        <v>-1.9608754240044608E-2</v>
      </c>
      <c r="X11" s="722">
        <v>15457</v>
      </c>
      <c r="Y11" s="767">
        <v>100</v>
      </c>
      <c r="Z11" s="768">
        <f t="shared" si="14"/>
        <v>0.13729792147806005</v>
      </c>
    </row>
    <row r="12" spans="1:26" s="40" customFormat="1">
      <c r="A12" s="97" t="s">
        <v>207</v>
      </c>
      <c r="B12" s="769" t="s">
        <v>208</v>
      </c>
      <c r="C12" s="773">
        <v>-26017</v>
      </c>
      <c r="D12" s="759"/>
      <c r="E12" s="760">
        <f t="shared" si="1"/>
        <v>-4.9174037952672563E-2</v>
      </c>
      <c r="F12" s="771">
        <v>23175</v>
      </c>
      <c r="G12" s="762"/>
      <c r="H12" s="763">
        <f t="shared" si="3"/>
        <v>4.2858410974712151E-2</v>
      </c>
      <c r="I12" s="772">
        <v>28996</v>
      </c>
      <c r="J12" s="765"/>
      <c r="K12" s="766">
        <f t="shared" si="5"/>
        <v>-8.7874921583542695E-2</v>
      </c>
      <c r="L12" s="730">
        <v>41884</v>
      </c>
      <c r="M12" s="728"/>
      <c r="N12" s="729">
        <f t="shared" si="7"/>
        <v>-0.28737272552625082</v>
      </c>
      <c r="O12" s="736">
        <v>71107</v>
      </c>
      <c r="P12" s="734"/>
      <c r="Q12" s="735">
        <f t="shared" si="9"/>
        <v>-0.31793021425760992</v>
      </c>
      <c r="R12" s="742">
        <v>0</v>
      </c>
      <c r="S12" s="740"/>
      <c r="T12" s="741">
        <f t="shared" si="11"/>
        <v>0</v>
      </c>
      <c r="U12" s="748">
        <v>0</v>
      </c>
      <c r="V12" s="746"/>
      <c r="W12" s="747">
        <f t="shared" si="13"/>
        <v>0</v>
      </c>
      <c r="X12" s="722">
        <v>0</v>
      </c>
      <c r="Y12" s="767">
        <v>100</v>
      </c>
      <c r="Z12" s="768">
        <f t="shared" si="14"/>
        <v>0</v>
      </c>
    </row>
    <row r="13" spans="1:26" s="40" customFormat="1">
      <c r="A13" s="97" t="s">
        <v>209</v>
      </c>
      <c r="B13" s="769" t="s">
        <v>210</v>
      </c>
      <c r="C13" s="770">
        <v>1071</v>
      </c>
      <c r="D13" s="759">
        <f t="shared" si="0"/>
        <v>338.92405063291136</v>
      </c>
      <c r="E13" s="760">
        <f t="shared" si="1"/>
        <v>2.0242685416194148E-3</v>
      </c>
      <c r="F13" s="771">
        <v>1882</v>
      </c>
      <c r="G13" s="762">
        <f t="shared" si="2"/>
        <v>595.56962025316454</v>
      </c>
      <c r="H13" s="763">
        <f t="shared" si="3"/>
        <v>3.4804543453897849E-3</v>
      </c>
      <c r="I13" s="772">
        <v>1299</v>
      </c>
      <c r="J13" s="765">
        <f t="shared" si="4"/>
        <v>411.07594936708864</v>
      </c>
      <c r="K13" s="766">
        <f t="shared" si="5"/>
        <v>-3.9367334507180978E-3</v>
      </c>
      <c r="L13" s="730">
        <v>1475</v>
      </c>
      <c r="M13" s="728">
        <f t="shared" si="6"/>
        <v>466.77215189873414</v>
      </c>
      <c r="N13" s="729">
        <f t="shared" si="7"/>
        <v>-1.0120207481406263E-2</v>
      </c>
      <c r="O13" s="736">
        <v>431</v>
      </c>
      <c r="P13" s="734">
        <f t="shared" si="8"/>
        <v>136.39240506329114</v>
      </c>
      <c r="Q13" s="735">
        <f t="shared" si="9"/>
        <v>-1.927066566512859E-3</v>
      </c>
      <c r="R13" s="742">
        <v>425</v>
      </c>
      <c r="S13" s="740">
        <f t="shared" si="10"/>
        <v>134.49367088607596</v>
      </c>
      <c r="T13" s="741">
        <f t="shared" si="11"/>
        <v>-0.11577226913647508</v>
      </c>
      <c r="U13" s="748">
        <v>675</v>
      </c>
      <c r="V13" s="746">
        <f t="shared" si="12"/>
        <v>213.60759493670884</v>
      </c>
      <c r="W13" s="747">
        <f t="shared" si="13"/>
        <v>-1.0454904511872126E-2</v>
      </c>
      <c r="X13" s="722">
        <v>316</v>
      </c>
      <c r="Y13" s="767">
        <v>100</v>
      </c>
      <c r="Z13" s="768">
        <f t="shared" si="14"/>
        <v>2.806892876176941E-3</v>
      </c>
    </row>
    <row r="14" spans="1:26" s="40" customFormat="1">
      <c r="A14" s="97" t="s">
        <v>211</v>
      </c>
      <c r="B14" s="769" t="s">
        <v>212</v>
      </c>
      <c r="C14" s="770">
        <v>165561</v>
      </c>
      <c r="D14" s="759">
        <f t="shared" si="0"/>
        <v>212.45652982919913</v>
      </c>
      <c r="E14" s="760">
        <f t="shared" si="1"/>
        <v>0.31292243139033793</v>
      </c>
      <c r="F14" s="771">
        <v>235958</v>
      </c>
      <c r="G14" s="762">
        <f t="shared" si="2"/>
        <v>302.79364020172727</v>
      </c>
      <c r="H14" s="763">
        <f t="shared" si="3"/>
        <v>0.43636612456401852</v>
      </c>
      <c r="I14" s="772">
        <v>271262</v>
      </c>
      <c r="J14" s="765">
        <f t="shared" si="4"/>
        <v>348.0975785029579</v>
      </c>
      <c r="K14" s="766">
        <f t="shared" si="5"/>
        <v>-0.82208328661177266</v>
      </c>
      <c r="L14" s="730">
        <v>89200</v>
      </c>
      <c r="M14" s="728">
        <f t="shared" si="6"/>
        <v>114.46610289116737</v>
      </c>
      <c r="N14" s="729">
        <f t="shared" si="7"/>
        <v>-0.6120152592145347</v>
      </c>
      <c r="O14" s="736">
        <v>61796</v>
      </c>
      <c r="P14" s="734">
        <f t="shared" si="8"/>
        <v>79.299857558997516</v>
      </c>
      <c r="Q14" s="735">
        <f t="shared" si="9"/>
        <v>-0.27629931680795505</v>
      </c>
      <c r="R14" s="742">
        <v>71813</v>
      </c>
      <c r="S14" s="740">
        <f t="shared" si="10"/>
        <v>92.154195593311698</v>
      </c>
      <c r="T14" s="741">
        <f t="shared" si="11"/>
        <v>-19.562244619994551</v>
      </c>
      <c r="U14" s="748">
        <v>57138</v>
      </c>
      <c r="V14" s="746">
        <f t="shared" si="12"/>
        <v>73.322468464075357</v>
      </c>
      <c r="W14" s="747">
        <f t="shared" si="13"/>
        <v>-0.88499605036940665</v>
      </c>
      <c r="X14" s="722">
        <v>77927</v>
      </c>
      <c r="Y14" s="767">
        <v>100</v>
      </c>
      <c r="Z14" s="768">
        <f t="shared" si="14"/>
        <v>0.69219221886658377</v>
      </c>
    </row>
    <row r="15" spans="1:26" s="40" customFormat="1">
      <c r="A15" s="97" t="s">
        <v>213</v>
      </c>
      <c r="B15" s="769" t="s">
        <v>214</v>
      </c>
      <c r="C15" s="770">
        <v>29622</v>
      </c>
      <c r="D15" s="759">
        <f t="shared" si="0"/>
        <v>-86.18562700029095</v>
      </c>
      <c r="E15" s="760">
        <f t="shared" si="1"/>
        <v>5.5987752324790203E-2</v>
      </c>
      <c r="F15" s="774">
        <v>-5380</v>
      </c>
      <c r="G15" s="762">
        <f t="shared" si="2"/>
        <v>15.653185917951701</v>
      </c>
      <c r="H15" s="763">
        <f t="shared" si="3"/>
        <v>-9.9494390957476312E-3</v>
      </c>
      <c r="I15" s="772">
        <v>6129</v>
      </c>
      <c r="J15" s="765">
        <f t="shared" si="4"/>
        <v>-17.832411987198139</v>
      </c>
      <c r="K15" s="766">
        <f t="shared" si="5"/>
        <v>-1.8574472147383541E-2</v>
      </c>
      <c r="L15" s="730">
        <v>6743</v>
      </c>
      <c r="M15" s="728">
        <f t="shared" si="6"/>
        <v>-19.618853651440212</v>
      </c>
      <c r="N15" s="729">
        <f t="shared" si="7"/>
        <v>-4.6264785794659272E-2</v>
      </c>
      <c r="O15" s="736">
        <v>-5967</v>
      </c>
      <c r="P15" s="734">
        <f t="shared" si="8"/>
        <v>17.361070701192901</v>
      </c>
      <c r="Q15" s="735">
        <f t="shared" si="9"/>
        <v>2.6679364738705871E-2</v>
      </c>
      <c r="R15" s="742">
        <v>-5384</v>
      </c>
      <c r="S15" s="740">
        <f t="shared" si="10"/>
        <v>15.664823974396274</v>
      </c>
      <c r="T15" s="741">
        <f t="shared" si="11"/>
        <v>1.4666303459547807</v>
      </c>
      <c r="U15" s="748">
        <v>-17204</v>
      </c>
      <c r="V15" s="746">
        <f t="shared" si="12"/>
        <v>50.055280768111722</v>
      </c>
      <c r="W15" s="747">
        <f t="shared" si="13"/>
        <v>0.26646841069962673</v>
      </c>
      <c r="X15" s="722">
        <v>-34370</v>
      </c>
      <c r="Y15" s="767">
        <v>100</v>
      </c>
      <c r="Z15" s="768">
        <f t="shared" si="14"/>
        <v>-0.30529401314620713</v>
      </c>
    </row>
    <row r="16" spans="1:26" s="40" customFormat="1">
      <c r="A16" s="97" t="s">
        <v>215</v>
      </c>
      <c r="B16" s="769" t="s">
        <v>216</v>
      </c>
      <c r="C16" s="770">
        <v>5607</v>
      </c>
      <c r="D16" s="759"/>
      <c r="E16" s="760">
        <f t="shared" si="1"/>
        <v>1.0597641188478113E-2</v>
      </c>
      <c r="F16" s="774">
        <v>-2326</v>
      </c>
      <c r="G16" s="762"/>
      <c r="H16" s="763">
        <f t="shared" si="3"/>
        <v>-4.3015604715072476E-3</v>
      </c>
      <c r="I16" s="772">
        <v>-9605</v>
      </c>
      <c r="J16" s="765"/>
      <c r="K16" s="766">
        <f t="shared" si="5"/>
        <v>2.9108795068627659E-2</v>
      </c>
      <c r="L16" s="730">
        <v>-16506</v>
      </c>
      <c r="M16" s="728"/>
      <c r="N16" s="729">
        <f t="shared" si="7"/>
        <v>0.11325026758514696</v>
      </c>
      <c r="O16" s="736">
        <v>-31810</v>
      </c>
      <c r="P16" s="734"/>
      <c r="Q16" s="735">
        <f t="shared" si="9"/>
        <v>0.14222734914332724</v>
      </c>
      <c r="R16" s="742">
        <v>-3403</v>
      </c>
      <c r="S16" s="740"/>
      <c r="T16" s="741">
        <f t="shared" si="11"/>
        <v>0.92699536910923452</v>
      </c>
      <c r="U16" s="748">
        <v>-4555</v>
      </c>
      <c r="V16" s="746"/>
      <c r="W16" s="747">
        <f t="shared" si="13"/>
        <v>7.0551244520855594E-2</v>
      </c>
      <c r="X16" s="722">
        <v>0</v>
      </c>
      <c r="Y16" s="767">
        <v>100</v>
      </c>
      <c r="Z16" s="768">
        <f t="shared" si="14"/>
        <v>0</v>
      </c>
    </row>
    <row r="17" spans="1:26" s="40" customFormat="1">
      <c r="A17" s="97" t="s">
        <v>217</v>
      </c>
      <c r="B17" s="769" t="s">
        <v>218</v>
      </c>
      <c r="C17" s="775">
        <v>0</v>
      </c>
      <c r="D17" s="759"/>
      <c r="E17" s="760">
        <f t="shared" si="1"/>
        <v>0</v>
      </c>
      <c r="F17" s="776">
        <v>0</v>
      </c>
      <c r="G17" s="762"/>
      <c r="H17" s="763">
        <f t="shared" si="3"/>
        <v>0</v>
      </c>
      <c r="I17" s="772">
        <v>0</v>
      </c>
      <c r="J17" s="765"/>
      <c r="K17" s="766">
        <f t="shared" si="5"/>
        <v>0</v>
      </c>
      <c r="L17" s="730">
        <v>-14734</v>
      </c>
      <c r="M17" s="728"/>
      <c r="N17" s="729">
        <f t="shared" si="7"/>
        <v>0.10109229629223042</v>
      </c>
      <c r="O17" s="736">
        <v>-221376</v>
      </c>
      <c r="P17" s="734"/>
      <c r="Q17" s="735">
        <f t="shared" si="9"/>
        <v>0.98980577315162566</v>
      </c>
      <c r="R17" s="742">
        <v>0</v>
      </c>
      <c r="S17" s="740"/>
      <c r="T17" s="741">
        <f t="shared" si="11"/>
        <v>0</v>
      </c>
      <c r="U17" s="748">
        <v>0</v>
      </c>
      <c r="V17" s="746"/>
      <c r="W17" s="747">
        <f t="shared" si="13"/>
        <v>0</v>
      </c>
      <c r="X17" s="722">
        <v>0</v>
      </c>
      <c r="Y17" s="767">
        <v>100</v>
      </c>
      <c r="Z17" s="768">
        <f t="shared" si="14"/>
        <v>0</v>
      </c>
    </row>
    <row r="18" spans="1:26" s="40" customFormat="1">
      <c r="A18" s="97" t="s">
        <v>219</v>
      </c>
      <c r="B18" s="769" t="s">
        <v>220</v>
      </c>
      <c r="C18" s="770">
        <v>17098</v>
      </c>
      <c r="D18" s="759"/>
      <c r="E18" s="760">
        <f t="shared" si="1"/>
        <v>3.2316473879186514E-2</v>
      </c>
      <c r="F18" s="771">
        <v>3269</v>
      </c>
      <c r="G18" s="762"/>
      <c r="H18" s="763">
        <f t="shared" si="3"/>
        <v>6.0454863204459121E-3</v>
      </c>
      <c r="I18" s="772">
        <v>627</v>
      </c>
      <c r="J18" s="765"/>
      <c r="K18" s="766">
        <f t="shared" si="5"/>
        <v>-1.9001785016168186E-3</v>
      </c>
      <c r="L18" s="730">
        <v>5341</v>
      </c>
      <c r="M18" s="728"/>
      <c r="N18" s="729">
        <f t="shared" si="7"/>
        <v>-3.6645442819112438E-2</v>
      </c>
      <c r="O18" s="736">
        <v>76547</v>
      </c>
      <c r="P18" s="734"/>
      <c r="Q18" s="735">
        <f t="shared" si="9"/>
        <v>-0.34225328182566084</v>
      </c>
      <c r="R18" s="742">
        <v>7432</v>
      </c>
      <c r="S18" s="740"/>
      <c r="T18" s="741">
        <f t="shared" si="11"/>
        <v>-2.0245164805230185</v>
      </c>
      <c r="U18" s="748">
        <v>10694</v>
      </c>
      <c r="V18" s="746"/>
      <c r="W18" s="747">
        <f t="shared" si="13"/>
        <v>-0.16563666496290444</v>
      </c>
      <c r="X18" s="722">
        <v>0</v>
      </c>
      <c r="Y18" s="767">
        <v>100</v>
      </c>
      <c r="Z18" s="768">
        <f t="shared" si="14"/>
        <v>0</v>
      </c>
    </row>
    <row r="19" spans="1:26" s="40" customFormat="1">
      <c r="A19" s="97" t="s">
        <v>221</v>
      </c>
      <c r="B19" s="769" t="s">
        <v>222</v>
      </c>
      <c r="C19" s="775">
        <v>0</v>
      </c>
      <c r="D19" s="759"/>
      <c r="E19" s="760">
        <f t="shared" si="1"/>
        <v>0</v>
      </c>
      <c r="F19" s="776">
        <v>0</v>
      </c>
      <c r="G19" s="762"/>
      <c r="H19" s="763">
        <f t="shared" si="3"/>
        <v>0</v>
      </c>
      <c r="I19" s="772">
        <v>0</v>
      </c>
      <c r="J19" s="765"/>
      <c r="K19" s="766">
        <f t="shared" si="5"/>
        <v>0</v>
      </c>
      <c r="L19" s="730">
        <v>-3458</v>
      </c>
      <c r="M19" s="728"/>
      <c r="N19" s="729">
        <f t="shared" si="7"/>
        <v>2.3725883030984989E-2</v>
      </c>
      <c r="O19" s="736">
        <v>0</v>
      </c>
      <c r="P19" s="734"/>
      <c r="Q19" s="735">
        <f t="shared" si="9"/>
        <v>0</v>
      </c>
      <c r="R19" s="742">
        <v>0</v>
      </c>
      <c r="S19" s="740"/>
      <c r="T19" s="741">
        <f t="shared" si="11"/>
        <v>0</v>
      </c>
      <c r="U19" s="748">
        <v>0</v>
      </c>
      <c r="V19" s="746"/>
      <c r="W19" s="747">
        <f t="shared" si="13"/>
        <v>0</v>
      </c>
      <c r="X19" s="722">
        <v>0</v>
      </c>
      <c r="Y19" s="767">
        <v>100</v>
      </c>
      <c r="Z19" s="768">
        <f t="shared" si="14"/>
        <v>0</v>
      </c>
    </row>
    <row r="20" spans="1:26" s="40" customFormat="1">
      <c r="A20" s="97" t="s">
        <v>223</v>
      </c>
      <c r="B20" s="769" t="s">
        <v>224</v>
      </c>
      <c r="C20" s="770">
        <v>214979</v>
      </c>
      <c r="D20" s="759">
        <f t="shared" si="0"/>
        <v>236.79752384728926</v>
      </c>
      <c r="E20" s="760">
        <f t="shared" si="1"/>
        <v>0.40632607545172755</v>
      </c>
      <c r="F20" s="771">
        <v>2530</v>
      </c>
      <c r="G20" s="762">
        <f t="shared" si="2"/>
        <v>2.786773291036063</v>
      </c>
      <c r="H20" s="763">
        <f t="shared" si="3"/>
        <v>4.678825448372028E-3</v>
      </c>
      <c r="I20" s="772">
        <v>-931338</v>
      </c>
      <c r="J20" s="765">
        <f t="shared" si="4"/>
        <v>-1025.8608155442469</v>
      </c>
      <c r="K20" s="766">
        <f t="shared" si="5"/>
        <v>2.8225015077173916</v>
      </c>
      <c r="L20" s="730">
        <v>-500835</v>
      </c>
      <c r="M20" s="728">
        <f t="shared" si="6"/>
        <v>-551.66545502610541</v>
      </c>
      <c r="N20" s="729">
        <f t="shared" si="7"/>
        <v>3.4363078738644783</v>
      </c>
      <c r="O20" s="736">
        <v>-431424</v>
      </c>
      <c r="P20" s="734">
        <f t="shared" si="8"/>
        <v>-475.2098341153922</v>
      </c>
      <c r="Q20" s="735">
        <f t="shared" si="9"/>
        <v>1.9289623350144864</v>
      </c>
      <c r="R20" s="742">
        <v>-132082</v>
      </c>
      <c r="S20" s="740">
        <f t="shared" si="10"/>
        <v>-145.48718965479259</v>
      </c>
      <c r="T20" s="741">
        <f t="shared" si="11"/>
        <v>35.979842004903297</v>
      </c>
      <c r="U20" s="748">
        <v>-166338</v>
      </c>
      <c r="V20" s="746">
        <f t="shared" si="12"/>
        <v>-183.21987971713699</v>
      </c>
      <c r="W20" s="747">
        <f t="shared" si="13"/>
        <v>2.5763672691789417</v>
      </c>
      <c r="X20" s="722">
        <v>90786</v>
      </c>
      <c r="Y20" s="767">
        <v>100</v>
      </c>
      <c r="Z20" s="768">
        <f t="shared" si="14"/>
        <v>0.80641321726772075</v>
      </c>
    </row>
    <row r="21" spans="1:26" s="40" customFormat="1">
      <c r="A21" s="97" t="s">
        <v>225</v>
      </c>
      <c r="B21" s="769" t="s">
        <v>226</v>
      </c>
      <c r="C21" s="770">
        <v>441827</v>
      </c>
      <c r="D21" s="759">
        <f t="shared" si="0"/>
        <v>3974.3366016011514</v>
      </c>
      <c r="E21" s="760">
        <f t="shared" si="1"/>
        <v>0.835085431314735</v>
      </c>
      <c r="F21" s="774">
        <v>-200525</v>
      </c>
      <c r="G21" s="762">
        <f t="shared" si="2"/>
        <v>-1803.7690024287126</v>
      </c>
      <c r="H21" s="763">
        <f t="shared" si="3"/>
        <v>-0.37083852689122565</v>
      </c>
      <c r="I21" s="772">
        <v>-441003</v>
      </c>
      <c r="J21" s="765">
        <f t="shared" si="4"/>
        <v>-3966.9245299991003</v>
      </c>
      <c r="K21" s="766">
        <f t="shared" si="5"/>
        <v>1.3364982771108802</v>
      </c>
      <c r="L21" s="730">
        <v>-74514</v>
      </c>
      <c r="M21" s="728">
        <f t="shared" si="6"/>
        <v>-670.27075649905555</v>
      </c>
      <c r="N21" s="729">
        <f t="shared" si="7"/>
        <v>0.51125229848780085</v>
      </c>
      <c r="O21" s="736">
        <v>-451149</v>
      </c>
      <c r="P21" s="734">
        <f t="shared" si="8"/>
        <v>-4058.1901592156155</v>
      </c>
      <c r="Q21" s="735">
        <f t="shared" si="9"/>
        <v>2.0171558107093035</v>
      </c>
      <c r="R21" s="742">
        <v>-25435</v>
      </c>
      <c r="S21" s="740">
        <f t="shared" si="10"/>
        <v>-228.79373931816139</v>
      </c>
      <c r="T21" s="741">
        <f t="shared" si="11"/>
        <v>6.9286298011441021</v>
      </c>
      <c r="U21" s="748">
        <v>58353</v>
      </c>
      <c r="V21" s="746">
        <f t="shared" si="12"/>
        <v>524.89880363407394</v>
      </c>
      <c r="W21" s="747">
        <f t="shared" si="13"/>
        <v>-0.90381487849077646</v>
      </c>
      <c r="X21" s="722">
        <v>11117</v>
      </c>
      <c r="Y21" s="767">
        <v>100</v>
      </c>
      <c r="Z21" s="768">
        <f t="shared" si="14"/>
        <v>9.8747557292591936E-2</v>
      </c>
    </row>
    <row r="22" spans="1:26" s="40" customFormat="1">
      <c r="A22" s="97" t="s">
        <v>227</v>
      </c>
      <c r="B22" s="769" t="s">
        <v>13</v>
      </c>
      <c r="C22" s="770">
        <v>152343</v>
      </c>
      <c r="D22" s="759">
        <f t="shared" si="0"/>
        <v>-224.91695333146328</v>
      </c>
      <c r="E22" s="760">
        <f t="shared" si="1"/>
        <v>0.28793944205035155</v>
      </c>
      <c r="F22" s="771">
        <v>148528</v>
      </c>
      <c r="G22" s="762">
        <f t="shared" si="2"/>
        <v>-219.28454372314823</v>
      </c>
      <c r="H22" s="763">
        <f t="shared" si="3"/>
        <v>0.27467849256751009</v>
      </c>
      <c r="I22" s="772">
        <v>265514</v>
      </c>
      <c r="J22" s="765">
        <f t="shared" si="4"/>
        <v>-392.0009448865398</v>
      </c>
      <c r="K22" s="766">
        <f t="shared" si="5"/>
        <v>-0.80466346838642422</v>
      </c>
      <c r="L22" s="730">
        <v>-1061553</v>
      </c>
      <c r="M22" s="728">
        <f t="shared" si="6"/>
        <v>1567.2611577812884</v>
      </c>
      <c r="N22" s="729">
        <f t="shared" si="7"/>
        <v>7.2834824491588224</v>
      </c>
      <c r="O22" s="736">
        <v>-190753</v>
      </c>
      <c r="P22" s="734">
        <f t="shared" si="8"/>
        <v>281.62490957140534</v>
      </c>
      <c r="Q22" s="735">
        <f t="shared" si="9"/>
        <v>0.85288568158243017</v>
      </c>
      <c r="R22" s="742">
        <v>22777</v>
      </c>
      <c r="S22" s="740">
        <f t="shared" si="10"/>
        <v>-33.627626120207282</v>
      </c>
      <c r="T22" s="741">
        <f t="shared" si="11"/>
        <v>-6.2045764096976299</v>
      </c>
      <c r="U22" s="748">
        <v>-63200</v>
      </c>
      <c r="V22" s="746">
        <f t="shared" si="12"/>
        <v>93.307545804851401</v>
      </c>
      <c r="W22" s="747">
        <f t="shared" si="13"/>
        <v>0.97888883725973086</v>
      </c>
      <c r="X22" s="722">
        <v>-67733</v>
      </c>
      <c r="Y22" s="767">
        <v>100</v>
      </c>
      <c r="Z22" s="768">
        <f t="shared" si="14"/>
        <v>-0.6016432758926985</v>
      </c>
    </row>
    <row r="23" spans="1:26" s="40" customFormat="1">
      <c r="A23" s="97" t="s">
        <v>228</v>
      </c>
      <c r="B23" s="769" t="s">
        <v>229</v>
      </c>
      <c r="C23" s="773">
        <v>-30560</v>
      </c>
      <c r="D23" s="759">
        <f t="shared" si="0"/>
        <v>-140.2413840576385</v>
      </c>
      <c r="E23" s="760">
        <f t="shared" si="1"/>
        <v>-5.7760641112875183E-2</v>
      </c>
      <c r="F23" s="774">
        <v>-104020</v>
      </c>
      <c r="G23" s="762">
        <f t="shared" si="2"/>
        <v>-477.3530356569226</v>
      </c>
      <c r="H23" s="763">
        <f t="shared" si="3"/>
        <v>-0.19236815143860012</v>
      </c>
      <c r="I23" s="772">
        <v>-206173</v>
      </c>
      <c r="J23" s="765">
        <f t="shared" si="4"/>
        <v>-946.13831398283685</v>
      </c>
      <c r="K23" s="766">
        <f t="shared" si="5"/>
        <v>0.62482536238252684</v>
      </c>
      <c r="L23" s="730">
        <v>69167</v>
      </c>
      <c r="M23" s="728">
        <f t="shared" si="6"/>
        <v>317.41085769354322</v>
      </c>
      <c r="N23" s="729">
        <f t="shared" si="7"/>
        <v>-0.47456568872300137</v>
      </c>
      <c r="O23" s="736">
        <v>-37104</v>
      </c>
      <c r="P23" s="734">
        <f t="shared" si="8"/>
        <v>-170.27213069615897</v>
      </c>
      <c r="Q23" s="735">
        <f t="shared" si="9"/>
        <v>0.16589762850091211</v>
      </c>
      <c r="R23" s="742">
        <v>-8262</v>
      </c>
      <c r="S23" s="740">
        <f t="shared" si="10"/>
        <v>-37.914735441237205</v>
      </c>
      <c r="T23" s="741">
        <f t="shared" si="11"/>
        <v>2.2506129120130756</v>
      </c>
      <c r="U23" s="748">
        <v>8497</v>
      </c>
      <c r="V23" s="746">
        <f t="shared" si="12"/>
        <v>38.993162314717082</v>
      </c>
      <c r="W23" s="747">
        <f t="shared" si="13"/>
        <v>-0.13160788687018882</v>
      </c>
      <c r="X23" s="722">
        <v>21791</v>
      </c>
      <c r="Y23" s="767">
        <v>100</v>
      </c>
      <c r="Z23" s="768">
        <f t="shared" si="14"/>
        <v>0.19356013501510036</v>
      </c>
    </row>
    <row r="24" spans="1:26" s="40" customFormat="1">
      <c r="A24" s="97" t="s">
        <v>230</v>
      </c>
      <c r="B24" s="769" t="s">
        <v>231</v>
      </c>
      <c r="C24" s="770">
        <v>15713</v>
      </c>
      <c r="D24" s="759">
        <f t="shared" si="0"/>
        <v>-221.96637943212318</v>
      </c>
      <c r="E24" s="760">
        <f t="shared" si="1"/>
        <v>2.9698722310425644E-2</v>
      </c>
      <c r="F24" s="771">
        <v>-5607</v>
      </c>
      <c r="G24" s="762">
        <f t="shared" si="2"/>
        <v>79.206102556858312</v>
      </c>
      <c r="H24" s="763">
        <f t="shared" si="3"/>
        <v>-1.0369238849415794E-2</v>
      </c>
      <c r="I24" s="772">
        <v>6075</v>
      </c>
      <c r="J24" s="765">
        <f t="shared" si="4"/>
        <v>-85.817205820031077</v>
      </c>
      <c r="K24" s="766">
        <f t="shared" si="5"/>
        <v>-1.8410820410402189E-2</v>
      </c>
      <c r="L24" s="730">
        <v>-7860</v>
      </c>
      <c r="M24" s="728">
        <f t="shared" si="6"/>
        <v>111.03263172764515</v>
      </c>
      <c r="N24" s="729">
        <f t="shared" si="7"/>
        <v>5.3928698850069984E-2</v>
      </c>
      <c r="O24" s="736">
        <v>15790</v>
      </c>
      <c r="P24" s="734">
        <f t="shared" si="8"/>
        <v>-223.05410368696141</v>
      </c>
      <c r="Q24" s="735">
        <f t="shared" si="9"/>
        <v>-7.0599492077118436E-2</v>
      </c>
      <c r="R24" s="742">
        <v>4100</v>
      </c>
      <c r="S24" s="740">
        <f t="shared" si="10"/>
        <v>-57.917784997881064</v>
      </c>
      <c r="T24" s="741">
        <f t="shared" si="11"/>
        <v>-1.1168618904930536</v>
      </c>
      <c r="U24" s="748">
        <v>-20053</v>
      </c>
      <c r="V24" s="746">
        <f t="shared" si="12"/>
        <v>283.27447379573385</v>
      </c>
      <c r="W24" s="747">
        <f t="shared" si="13"/>
        <v>0.3105958521134396</v>
      </c>
      <c r="X24" s="722">
        <v>-7079</v>
      </c>
      <c r="Y24" s="767">
        <v>100</v>
      </c>
      <c r="Z24" s="768">
        <f t="shared" si="14"/>
        <v>-6.287972996979925E-2</v>
      </c>
    </row>
    <row r="25" spans="1:26" s="40" customFormat="1">
      <c r="A25" s="97" t="s">
        <v>232</v>
      </c>
      <c r="B25" s="769" t="s">
        <v>233</v>
      </c>
      <c r="C25" s="770">
        <v>-1532</v>
      </c>
      <c r="D25" s="759"/>
      <c r="E25" s="760">
        <f t="shared" si="1"/>
        <v>-2.8955923489831403E-3</v>
      </c>
      <c r="F25" s="776">
        <v>442</v>
      </c>
      <c r="G25" s="762"/>
      <c r="H25" s="763">
        <f t="shared" si="3"/>
        <v>8.174074498736902E-4</v>
      </c>
      <c r="I25" s="772">
        <v>704</v>
      </c>
      <c r="J25" s="765"/>
      <c r="K25" s="766">
        <f t="shared" si="5"/>
        <v>-2.1335337562013402E-3</v>
      </c>
      <c r="L25" s="730">
        <v>9904</v>
      </c>
      <c r="M25" s="728"/>
      <c r="N25" s="729">
        <f t="shared" si="7"/>
        <v>-6.795290501413398E-2</v>
      </c>
      <c r="O25" s="736">
        <v>15296</v>
      </c>
      <c r="P25" s="734"/>
      <c r="Q25" s="735">
        <f t="shared" si="9"/>
        <v>-6.8390742926637341E-2</v>
      </c>
      <c r="R25" s="742">
        <v>0</v>
      </c>
      <c r="S25" s="740"/>
      <c r="T25" s="741">
        <f t="shared" si="11"/>
        <v>0</v>
      </c>
      <c r="U25" s="748">
        <v>0</v>
      </c>
      <c r="V25" s="746"/>
      <c r="W25" s="747">
        <f t="shared" si="13"/>
        <v>0</v>
      </c>
      <c r="X25" s="722">
        <v>0</v>
      </c>
      <c r="Y25" s="767">
        <v>100</v>
      </c>
      <c r="Z25" s="768">
        <f t="shared" si="14"/>
        <v>0</v>
      </c>
    </row>
    <row r="26" spans="1:26" s="40" customFormat="1">
      <c r="A26" s="97" t="s">
        <v>234</v>
      </c>
      <c r="B26" s="769" t="s">
        <v>28</v>
      </c>
      <c r="C26" s="770">
        <v>18047</v>
      </c>
      <c r="D26" s="759">
        <f t="shared" si="0"/>
        <v>1180.313930673643</v>
      </c>
      <c r="E26" s="760">
        <f t="shared" si="1"/>
        <v>3.4110153473954789E-2</v>
      </c>
      <c r="F26" s="771">
        <v>74404</v>
      </c>
      <c r="G26" s="762">
        <f t="shared" si="2"/>
        <v>4866.187050359712</v>
      </c>
      <c r="H26" s="763">
        <f t="shared" si="3"/>
        <v>0.13759815362081912</v>
      </c>
      <c r="I26" s="772">
        <v>12900</v>
      </c>
      <c r="J26" s="765">
        <f t="shared" si="4"/>
        <v>843.68868541530412</v>
      </c>
      <c r="K26" s="766">
        <f t="shared" si="5"/>
        <v>-3.9094581612212055E-2</v>
      </c>
      <c r="L26" s="730">
        <v>-19615</v>
      </c>
      <c r="M26" s="728">
        <f t="shared" si="6"/>
        <v>-1282.8646173969914</v>
      </c>
      <c r="N26" s="729">
        <f t="shared" si="7"/>
        <v>0.13458160660866703</v>
      </c>
      <c r="O26" s="736">
        <v>15352</v>
      </c>
      <c r="P26" s="734">
        <f t="shared" si="8"/>
        <v>1004.0549378678875</v>
      </c>
      <c r="Q26" s="735">
        <f t="shared" si="9"/>
        <v>-6.8641127445720207E-2</v>
      </c>
      <c r="R26" s="742">
        <v>-21639</v>
      </c>
      <c r="S26" s="740">
        <f t="shared" si="10"/>
        <v>-1415.2387181164161</v>
      </c>
      <c r="T26" s="741">
        <f t="shared" si="11"/>
        <v>5.8945791337510212</v>
      </c>
      <c r="U26" s="748">
        <v>-49586</v>
      </c>
      <c r="V26" s="746">
        <f t="shared" si="12"/>
        <v>-3243.0346631785483</v>
      </c>
      <c r="W26" s="747">
        <f t="shared" si="13"/>
        <v>0.76802502981583876</v>
      </c>
      <c r="X26" s="722">
        <v>1529</v>
      </c>
      <c r="Y26" s="767">
        <v>100</v>
      </c>
      <c r="Z26" s="768">
        <f t="shared" si="14"/>
        <v>1.358145318884349E-2</v>
      </c>
    </row>
    <row r="27" spans="1:26" s="40" customFormat="1">
      <c r="A27" s="97" t="s">
        <v>235</v>
      </c>
      <c r="B27" s="769" t="s">
        <v>70</v>
      </c>
      <c r="C27" s="773">
        <v>-207637</v>
      </c>
      <c r="D27" s="759">
        <f t="shared" si="0"/>
        <v>-158.59959211420801</v>
      </c>
      <c r="E27" s="760">
        <f t="shared" si="1"/>
        <v>-0.39244915702729266</v>
      </c>
      <c r="F27" s="771">
        <v>218471</v>
      </c>
      <c r="G27" s="762">
        <f t="shared" si="2"/>
        <v>166.87493793872548</v>
      </c>
      <c r="H27" s="763">
        <f t="shared" si="3"/>
        <v>0.40402674882659495</v>
      </c>
      <c r="I27" s="772">
        <v>-601854</v>
      </c>
      <c r="J27" s="765">
        <f t="shared" si="4"/>
        <v>-459.71478547804372</v>
      </c>
      <c r="K27" s="766">
        <f t="shared" si="5"/>
        <v>1.8239713427625019</v>
      </c>
      <c r="L27" s="730">
        <v>659992</v>
      </c>
      <c r="M27" s="728">
        <f t="shared" si="6"/>
        <v>504.12239629083632</v>
      </c>
      <c r="N27" s="729">
        <f t="shared" si="7"/>
        <v>-4.5283091363174792</v>
      </c>
      <c r="O27" s="736">
        <v>178231</v>
      </c>
      <c r="P27" s="734">
        <f t="shared" si="8"/>
        <v>136.13837563684416</v>
      </c>
      <c r="Q27" s="735">
        <f t="shared" si="9"/>
        <v>-0.79689791465464821</v>
      </c>
      <c r="R27" s="742">
        <v>-56863</v>
      </c>
      <c r="S27" s="740">
        <f t="shared" si="10"/>
        <v>-43.433726197114247</v>
      </c>
      <c r="T27" s="741">
        <f t="shared" si="11"/>
        <v>15.489784799782075</v>
      </c>
      <c r="U27" s="748">
        <v>-18115</v>
      </c>
      <c r="V27" s="746">
        <f t="shared" si="12"/>
        <v>-13.836799853344434</v>
      </c>
      <c r="W27" s="747">
        <f t="shared" si="13"/>
        <v>0.28057865960379785</v>
      </c>
      <c r="X27" s="722">
        <v>130919</v>
      </c>
      <c r="Y27" s="767">
        <v>100</v>
      </c>
      <c r="Z27" s="768">
        <f t="shared" si="14"/>
        <v>1.1628974951145852</v>
      </c>
    </row>
    <row r="28" spans="1:26" s="40" customFormat="1">
      <c r="A28" s="97" t="s">
        <v>236</v>
      </c>
      <c r="B28" s="769" t="s">
        <v>237</v>
      </c>
      <c r="C28" s="770">
        <v>20966</v>
      </c>
      <c r="D28" s="759">
        <f t="shared" si="0"/>
        <v>81.194330415924412</v>
      </c>
      <c r="E28" s="760">
        <f t="shared" si="1"/>
        <v>3.9627277538368491E-2</v>
      </c>
      <c r="F28" s="771">
        <v>42891</v>
      </c>
      <c r="G28" s="762">
        <f t="shared" si="2"/>
        <v>166.10254821470065</v>
      </c>
      <c r="H28" s="763">
        <f t="shared" si="3"/>
        <v>7.9319961385820009E-2</v>
      </c>
      <c r="I28" s="772">
        <v>139992</v>
      </c>
      <c r="J28" s="765">
        <f t="shared" si="4"/>
        <v>542.14235922856483</v>
      </c>
      <c r="K28" s="766">
        <f t="shared" si="5"/>
        <v>-0.42425803636099146</v>
      </c>
      <c r="L28" s="730">
        <v>20777</v>
      </c>
      <c r="M28" s="728">
        <f t="shared" si="6"/>
        <v>80.462396406165283</v>
      </c>
      <c r="N28" s="729">
        <f t="shared" si="7"/>
        <v>-0.1425542717567308</v>
      </c>
      <c r="O28" s="736">
        <v>8002</v>
      </c>
      <c r="P28" s="734">
        <f t="shared" si="8"/>
        <v>30.989079079854388</v>
      </c>
      <c r="Q28" s="735">
        <f t="shared" si="9"/>
        <v>-3.5778159316092573E-2</v>
      </c>
      <c r="R28" s="742">
        <v>-848</v>
      </c>
      <c r="S28" s="740">
        <f t="shared" si="10"/>
        <v>-3.2840213771202853</v>
      </c>
      <c r="T28" s="741">
        <f t="shared" si="11"/>
        <v>0.23099972759466086</v>
      </c>
      <c r="U28" s="748">
        <v>-24700</v>
      </c>
      <c r="V28" s="746">
        <f t="shared" si="12"/>
        <v>-95.654867942064897</v>
      </c>
      <c r="W28" s="747">
        <f t="shared" si="13"/>
        <v>0.3825720613973948</v>
      </c>
      <c r="X28" s="722">
        <v>25822</v>
      </c>
      <c r="Y28" s="767">
        <v>100</v>
      </c>
      <c r="Z28" s="768">
        <f t="shared" si="14"/>
        <v>0.2293657843311423</v>
      </c>
    </row>
    <row r="29" spans="1:26" s="40" customFormat="1">
      <c r="A29" s="97" t="s">
        <v>238</v>
      </c>
      <c r="B29" s="769" t="s">
        <v>91</v>
      </c>
      <c r="C29" s="770">
        <v>3086</v>
      </c>
      <c r="D29" s="759">
        <f t="shared" si="0"/>
        <v>-101.04780615586118</v>
      </c>
      <c r="E29" s="760">
        <f t="shared" si="1"/>
        <v>5.8327663113328801E-3</v>
      </c>
      <c r="F29" s="774">
        <v>-1687</v>
      </c>
      <c r="G29" s="762">
        <f t="shared" si="2"/>
        <v>55.239030779305828</v>
      </c>
      <c r="H29" s="763">
        <f t="shared" si="3"/>
        <v>-3.1198334116219807E-3</v>
      </c>
      <c r="I29" s="772">
        <v>-2674</v>
      </c>
      <c r="J29" s="765">
        <f t="shared" si="4"/>
        <v>87.557301899148655</v>
      </c>
      <c r="K29" s="766">
        <f t="shared" si="5"/>
        <v>8.1037915682988394E-3</v>
      </c>
      <c r="L29" s="730">
        <v>-23041</v>
      </c>
      <c r="M29" s="728">
        <f t="shared" si="6"/>
        <v>754.45317616241005</v>
      </c>
      <c r="N29" s="729">
        <f t="shared" si="7"/>
        <v>0.15808793259598761</v>
      </c>
      <c r="O29" s="736">
        <v>55323</v>
      </c>
      <c r="P29" s="734">
        <f t="shared" si="8"/>
        <v>-1811.4931237721021</v>
      </c>
      <c r="Q29" s="735">
        <f t="shared" si="9"/>
        <v>-0.24735754909325036</v>
      </c>
      <c r="R29" s="742">
        <v>-942</v>
      </c>
      <c r="S29" s="740">
        <f t="shared" si="10"/>
        <v>30.844793713163064</v>
      </c>
      <c r="T29" s="741">
        <f t="shared" si="11"/>
        <v>0.2566058294742577</v>
      </c>
      <c r="U29" s="748">
        <v>804</v>
      </c>
      <c r="V29" s="746">
        <f t="shared" si="12"/>
        <v>-26.326129666011788</v>
      </c>
      <c r="W29" s="747">
        <f t="shared" si="13"/>
        <v>-1.2452952929696575E-2</v>
      </c>
      <c r="X29" s="722">
        <v>-3054</v>
      </c>
      <c r="Y29" s="767">
        <v>100</v>
      </c>
      <c r="Z29" s="768">
        <f t="shared" si="14"/>
        <v>-2.7127376088115118E-2</v>
      </c>
    </row>
    <row r="30" spans="1:26" s="40" customFormat="1">
      <c r="A30" s="97" t="s">
        <v>239</v>
      </c>
      <c r="B30" s="769" t="s">
        <v>240</v>
      </c>
      <c r="C30" s="775">
        <v>193</v>
      </c>
      <c r="D30" s="759"/>
      <c r="E30" s="760">
        <f t="shared" si="1"/>
        <v>3.6478415362516066E-4</v>
      </c>
      <c r="F30" s="777">
        <v>-128</v>
      </c>
      <c r="G30" s="762"/>
      <c r="H30" s="763">
        <f t="shared" si="3"/>
        <v>-2.3671527960143066E-4</v>
      </c>
      <c r="I30" s="772">
        <v>0</v>
      </c>
      <c r="J30" s="765"/>
      <c r="K30" s="766">
        <f t="shared" si="5"/>
        <v>0</v>
      </c>
      <c r="L30" s="730">
        <v>0</v>
      </c>
      <c r="M30" s="728"/>
      <c r="N30" s="729">
        <f t="shared" si="7"/>
        <v>0</v>
      </c>
      <c r="O30" s="736">
        <v>0</v>
      </c>
      <c r="P30" s="734"/>
      <c r="Q30" s="735">
        <f t="shared" si="9"/>
        <v>0</v>
      </c>
      <c r="R30" s="742">
        <v>0</v>
      </c>
      <c r="S30" s="740"/>
      <c r="T30" s="741">
        <f t="shared" si="11"/>
        <v>0</v>
      </c>
      <c r="U30" s="748">
        <v>0</v>
      </c>
      <c r="V30" s="746"/>
      <c r="W30" s="747">
        <f t="shared" si="13"/>
        <v>0</v>
      </c>
      <c r="X30" s="722">
        <v>0</v>
      </c>
      <c r="Y30" s="767">
        <v>100</v>
      </c>
      <c r="Z30" s="768">
        <f t="shared" si="14"/>
        <v>0</v>
      </c>
    </row>
    <row r="31" spans="1:26" s="40" customFormat="1">
      <c r="A31" s="97" t="s">
        <v>241</v>
      </c>
      <c r="B31" s="769" t="s">
        <v>242</v>
      </c>
      <c r="C31" s="773">
        <v>-185862</v>
      </c>
      <c r="D31" s="759">
        <f t="shared" si="0"/>
        <v>522.6274498776819</v>
      </c>
      <c r="E31" s="760">
        <f t="shared" si="1"/>
        <v>-0.35129281016103425</v>
      </c>
      <c r="F31" s="774">
        <v>-162205</v>
      </c>
      <c r="G31" s="762">
        <f t="shared" si="2"/>
        <v>456.10606529257939</v>
      </c>
      <c r="H31" s="763">
        <f t="shared" si="3"/>
        <v>-0.29997189006054731</v>
      </c>
      <c r="I31" s="772">
        <v>-100278</v>
      </c>
      <c r="J31" s="765">
        <f t="shared" si="4"/>
        <v>281.97283693726627</v>
      </c>
      <c r="K31" s="766">
        <f t="shared" si="5"/>
        <v>0.30390127557437213</v>
      </c>
      <c r="L31" s="730">
        <v>-68264</v>
      </c>
      <c r="M31" s="728">
        <f t="shared" si="6"/>
        <v>191.95230998509686</v>
      </c>
      <c r="N31" s="729">
        <f t="shared" si="7"/>
        <v>0.46837006339709636</v>
      </c>
      <c r="O31" s="736">
        <v>-40412</v>
      </c>
      <c r="P31" s="734">
        <f t="shared" si="8"/>
        <v>113.6349576807356</v>
      </c>
      <c r="Q31" s="735">
        <f t="shared" si="9"/>
        <v>0.18068819973530778</v>
      </c>
      <c r="R31" s="742">
        <v>-63766</v>
      </c>
      <c r="S31" s="740">
        <f t="shared" si="10"/>
        <v>179.30433315524562</v>
      </c>
      <c r="T31" s="741">
        <f t="shared" si="11"/>
        <v>17.370198855897577</v>
      </c>
      <c r="U31" s="748">
        <v>-82795</v>
      </c>
      <c r="V31" s="746">
        <f t="shared" si="12"/>
        <v>232.81219244720637</v>
      </c>
      <c r="W31" s="747">
        <f t="shared" si="13"/>
        <v>1.2823908430525224</v>
      </c>
      <c r="X31" s="722">
        <v>-35563</v>
      </c>
      <c r="Y31" s="767">
        <v>100</v>
      </c>
      <c r="Z31" s="768">
        <f t="shared" si="14"/>
        <v>-0.31589092201101437</v>
      </c>
    </row>
    <row r="32" spans="1:26" s="40" customFormat="1">
      <c r="A32" s="97" t="s">
        <v>243</v>
      </c>
      <c r="B32" s="769" t="s">
        <v>244</v>
      </c>
      <c r="C32" s="773">
        <v>-11605</v>
      </c>
      <c r="D32" s="759"/>
      <c r="E32" s="760">
        <f t="shared" si="1"/>
        <v>-2.1934301050880775E-2</v>
      </c>
      <c r="F32" s="774">
        <v>-8034</v>
      </c>
      <c r="G32" s="762"/>
      <c r="H32" s="763">
        <f t="shared" si="3"/>
        <v>-1.4857582471233546E-2</v>
      </c>
      <c r="I32" s="772">
        <v>-4541</v>
      </c>
      <c r="J32" s="765"/>
      <c r="K32" s="766">
        <f t="shared" si="5"/>
        <v>1.376189884504302E-2</v>
      </c>
      <c r="L32" s="730">
        <v>-5828</v>
      </c>
      <c r="M32" s="728"/>
      <c r="N32" s="729">
        <f t="shared" si="7"/>
        <v>3.9986826577380133E-2</v>
      </c>
      <c r="O32" s="736">
        <v>0</v>
      </c>
      <c r="P32" s="734"/>
      <c r="Q32" s="735">
        <f t="shared" si="9"/>
        <v>0</v>
      </c>
      <c r="R32" s="742">
        <v>0</v>
      </c>
      <c r="S32" s="740"/>
      <c r="T32" s="741">
        <f t="shared" si="11"/>
        <v>0</v>
      </c>
      <c r="U32" s="748">
        <v>0</v>
      </c>
      <c r="V32" s="746"/>
      <c r="W32" s="747">
        <f t="shared" si="13"/>
        <v>0</v>
      </c>
      <c r="X32" s="722">
        <v>0</v>
      </c>
      <c r="Y32" s="767">
        <v>100</v>
      </c>
      <c r="Z32" s="768">
        <f t="shared" si="14"/>
        <v>0</v>
      </c>
    </row>
    <row r="33" spans="1:26" s="40" customFormat="1">
      <c r="A33" s="97" t="s">
        <v>245</v>
      </c>
      <c r="B33" s="769" t="s">
        <v>24</v>
      </c>
      <c r="C33" s="775">
        <v>0</v>
      </c>
      <c r="D33" s="759"/>
      <c r="E33" s="760">
        <f t="shared" si="1"/>
        <v>0</v>
      </c>
      <c r="F33" s="776">
        <v>0</v>
      </c>
      <c r="G33" s="762"/>
      <c r="H33" s="763">
        <f t="shared" si="3"/>
        <v>0</v>
      </c>
      <c r="I33" s="772">
        <v>0</v>
      </c>
      <c r="J33" s="765"/>
      <c r="K33" s="766">
        <f t="shared" si="5"/>
        <v>0</v>
      </c>
      <c r="L33" s="730">
        <v>0</v>
      </c>
      <c r="M33" s="728"/>
      <c r="N33" s="729">
        <f t="shared" si="7"/>
        <v>0</v>
      </c>
      <c r="O33" s="736">
        <v>0</v>
      </c>
      <c r="P33" s="734"/>
      <c r="Q33" s="735">
        <f t="shared" si="9"/>
        <v>0</v>
      </c>
      <c r="R33" s="742">
        <v>0</v>
      </c>
      <c r="S33" s="740"/>
      <c r="T33" s="741">
        <f t="shared" si="11"/>
        <v>0</v>
      </c>
      <c r="U33" s="748">
        <v>0</v>
      </c>
      <c r="V33" s="746"/>
      <c r="W33" s="747">
        <f t="shared" si="13"/>
        <v>0</v>
      </c>
      <c r="X33" s="722">
        <v>0</v>
      </c>
      <c r="Y33" s="767">
        <v>100</v>
      </c>
      <c r="Z33" s="768">
        <f t="shared" si="14"/>
        <v>0</v>
      </c>
    </row>
    <row r="34" spans="1:26" s="40" customFormat="1">
      <c r="A34" s="118" t="s">
        <v>246</v>
      </c>
      <c r="B34" s="757" t="s">
        <v>247</v>
      </c>
      <c r="C34" s="758">
        <v>-286526</v>
      </c>
      <c r="D34" s="759">
        <f t="shared" si="0"/>
        <v>665.42650781485872</v>
      </c>
      <c r="E34" s="760">
        <f t="shared" si="1"/>
        <v>-0.54155515233991081</v>
      </c>
      <c r="F34" s="774">
        <v>-161297</v>
      </c>
      <c r="G34" s="762">
        <f t="shared" si="2"/>
        <v>374.59532269676492</v>
      </c>
      <c r="H34" s="763">
        <f t="shared" si="3"/>
        <v>-0.29829269104587469</v>
      </c>
      <c r="I34" s="764">
        <v>-155602</v>
      </c>
      <c r="J34" s="765">
        <f t="shared" si="4"/>
        <v>361.36928400566666</v>
      </c>
      <c r="K34" s="766">
        <f t="shared" si="5"/>
        <v>0.47156551069948993</v>
      </c>
      <c r="L34" s="727">
        <v>-67034</v>
      </c>
      <c r="M34" s="728">
        <f t="shared" si="6"/>
        <v>155.67941661441279</v>
      </c>
      <c r="N34" s="729">
        <f t="shared" si="7"/>
        <v>0.45993083953124569</v>
      </c>
      <c r="O34" s="733">
        <v>-43307</v>
      </c>
      <c r="P34" s="734">
        <f t="shared" si="8"/>
        <v>100.5759539236861</v>
      </c>
      <c r="Q34" s="735">
        <f t="shared" si="9"/>
        <v>0.19363218514146727</v>
      </c>
      <c r="R34" s="739">
        <v>-31968</v>
      </c>
      <c r="S34" s="740">
        <f t="shared" si="10"/>
        <v>74.242318679021807</v>
      </c>
      <c r="T34" s="741">
        <f t="shared" si="11"/>
        <v>8.7082538817760824</v>
      </c>
      <c r="U34" s="745">
        <v>-10853</v>
      </c>
      <c r="V34" s="746">
        <f t="shared" si="12"/>
        <v>25.204951345827819</v>
      </c>
      <c r="W34" s="747">
        <f t="shared" si="13"/>
        <v>0.16809937580347878</v>
      </c>
      <c r="X34" s="723">
        <v>-43059</v>
      </c>
      <c r="Y34" s="767">
        <v>100</v>
      </c>
      <c r="Z34" s="768">
        <f t="shared" si="14"/>
        <v>-0.38247468466868006</v>
      </c>
    </row>
    <row r="35" spans="1:26" s="40" customFormat="1">
      <c r="A35" s="97" t="s">
        <v>248</v>
      </c>
      <c r="B35" s="769" t="s">
        <v>249</v>
      </c>
      <c r="C35" s="775">
        <v>0</v>
      </c>
      <c r="D35" s="759"/>
      <c r="E35" s="760">
        <f t="shared" si="1"/>
        <v>0</v>
      </c>
      <c r="F35" s="776">
        <v>0</v>
      </c>
      <c r="G35" s="762"/>
      <c r="H35" s="763">
        <f t="shared" si="3"/>
        <v>0</v>
      </c>
      <c r="I35" s="772">
        <v>0</v>
      </c>
      <c r="J35" s="765"/>
      <c r="K35" s="766">
        <f t="shared" si="5"/>
        <v>0</v>
      </c>
      <c r="L35" s="730">
        <v>0</v>
      </c>
      <c r="M35" s="728"/>
      <c r="N35" s="729">
        <f t="shared" si="7"/>
        <v>0</v>
      </c>
      <c r="O35" s="736">
        <v>0</v>
      </c>
      <c r="P35" s="734"/>
      <c r="Q35" s="735">
        <f t="shared" si="9"/>
        <v>0</v>
      </c>
      <c r="R35" s="742">
        <v>0</v>
      </c>
      <c r="S35" s="740"/>
      <c r="T35" s="741">
        <f t="shared" si="11"/>
        <v>0</v>
      </c>
      <c r="U35" s="748">
        <v>0</v>
      </c>
      <c r="V35" s="746"/>
      <c r="W35" s="747">
        <f t="shared" si="13"/>
        <v>0</v>
      </c>
      <c r="X35" s="722">
        <v>0</v>
      </c>
      <c r="Y35" s="767">
        <v>100</v>
      </c>
      <c r="Z35" s="768">
        <f t="shared" si="14"/>
        <v>0</v>
      </c>
    </row>
    <row r="36" spans="1:26" s="40" customFormat="1">
      <c r="A36" s="97" t="s">
        <v>250</v>
      </c>
      <c r="B36" s="769" t="s">
        <v>251</v>
      </c>
      <c r="C36" s="773">
        <v>-23196</v>
      </c>
      <c r="D36" s="759"/>
      <c r="E36" s="760">
        <f t="shared" si="1"/>
        <v>-4.3842141075073712E-2</v>
      </c>
      <c r="F36" s="774">
        <v>-68677</v>
      </c>
      <c r="G36" s="762"/>
      <c r="H36" s="763">
        <f t="shared" si="3"/>
        <v>-0.12700699419677697</v>
      </c>
      <c r="I36" s="772">
        <v>-72553</v>
      </c>
      <c r="J36" s="765"/>
      <c r="K36" s="766">
        <f t="shared" si="5"/>
        <v>0.21987823098533499</v>
      </c>
      <c r="L36" s="730">
        <v>-13501</v>
      </c>
      <c r="M36" s="728"/>
      <c r="N36" s="729">
        <f t="shared" si="7"/>
        <v>9.2632488953536235E-2</v>
      </c>
      <c r="O36" s="736">
        <v>-12000</v>
      </c>
      <c r="P36" s="734"/>
      <c r="Q36" s="735">
        <f t="shared" si="9"/>
        <v>5.3653825517759414E-2</v>
      </c>
      <c r="R36" s="742">
        <v>-12600</v>
      </c>
      <c r="S36" s="740"/>
      <c r="T36" s="741">
        <f t="shared" si="11"/>
        <v>3.432307273222555</v>
      </c>
      <c r="U36" s="748">
        <v>0</v>
      </c>
      <c r="V36" s="746"/>
      <c r="W36" s="747">
        <f t="shared" si="13"/>
        <v>0</v>
      </c>
      <c r="X36" s="722">
        <v>0</v>
      </c>
      <c r="Y36" s="767">
        <v>100</v>
      </c>
      <c r="Z36" s="768">
        <f t="shared" si="14"/>
        <v>0</v>
      </c>
    </row>
    <row r="37" spans="1:26" s="40" customFormat="1">
      <c r="A37" s="97" t="s">
        <v>252</v>
      </c>
      <c r="B37" s="769" t="s">
        <v>253</v>
      </c>
      <c r="C37" s="775">
        <v>0</v>
      </c>
      <c r="D37" s="759"/>
      <c r="E37" s="760">
        <f t="shared" si="1"/>
        <v>0</v>
      </c>
      <c r="F37" s="776">
        <v>0</v>
      </c>
      <c r="G37" s="762"/>
      <c r="H37" s="763">
        <f t="shared" si="3"/>
        <v>0</v>
      </c>
      <c r="I37" s="772">
        <v>0</v>
      </c>
      <c r="J37" s="765"/>
      <c r="K37" s="766">
        <f t="shared" si="5"/>
        <v>0</v>
      </c>
      <c r="L37" s="730">
        <v>0</v>
      </c>
      <c r="M37" s="728"/>
      <c r="N37" s="729">
        <f t="shared" si="7"/>
        <v>0</v>
      </c>
      <c r="O37" s="736">
        <v>0</v>
      </c>
      <c r="P37" s="734"/>
      <c r="Q37" s="735">
        <f t="shared" si="9"/>
        <v>0</v>
      </c>
      <c r="R37" s="742">
        <v>0</v>
      </c>
      <c r="S37" s="740"/>
      <c r="T37" s="741">
        <f t="shared" si="11"/>
        <v>0</v>
      </c>
      <c r="U37" s="748">
        <v>7673</v>
      </c>
      <c r="V37" s="746"/>
      <c r="W37" s="747">
        <f t="shared" si="13"/>
        <v>-0.11884515899199231</v>
      </c>
      <c r="X37" s="722">
        <v>0</v>
      </c>
      <c r="Y37" s="767">
        <v>100</v>
      </c>
      <c r="Z37" s="768">
        <f t="shared" si="14"/>
        <v>0</v>
      </c>
    </row>
    <row r="38" spans="1:26" s="40" customFormat="1">
      <c r="A38" s="97" t="s">
        <v>254</v>
      </c>
      <c r="B38" s="769" t="s">
        <v>255</v>
      </c>
      <c r="C38" s="773">
        <v>-20886</v>
      </c>
      <c r="D38" s="759">
        <f t="shared" si="0"/>
        <v>132.53379021511518</v>
      </c>
      <c r="E38" s="760">
        <f t="shared" si="1"/>
        <v>-3.9476071671580855E-2</v>
      </c>
      <c r="F38" s="774">
        <v>-49228</v>
      </c>
      <c r="G38" s="762">
        <f t="shared" si="2"/>
        <v>312.38022717177489</v>
      </c>
      <c r="H38" s="763">
        <f t="shared" si="3"/>
        <v>-9.1039217064212724E-2</v>
      </c>
      <c r="I38" s="772">
        <v>-35286</v>
      </c>
      <c r="J38" s="765">
        <f t="shared" si="4"/>
        <v>223.91014658290501</v>
      </c>
      <c r="K38" s="766">
        <f t="shared" si="5"/>
        <v>0.10693731835414842</v>
      </c>
      <c r="L38" s="730">
        <v>-27481</v>
      </c>
      <c r="M38" s="728">
        <f t="shared" si="6"/>
        <v>174.38289231550226</v>
      </c>
      <c r="N38" s="729">
        <f t="shared" si="7"/>
        <v>0.18855147240442408</v>
      </c>
      <c r="O38" s="736">
        <v>-9186</v>
      </c>
      <c r="P38" s="734">
        <f t="shared" si="8"/>
        <v>58.290500666285929</v>
      </c>
      <c r="Q38" s="735">
        <f t="shared" si="9"/>
        <v>4.1072003433844831E-2</v>
      </c>
      <c r="R38" s="742">
        <v>-5078</v>
      </c>
      <c r="S38" s="740">
        <f t="shared" si="10"/>
        <v>32.222856780252556</v>
      </c>
      <c r="T38" s="741">
        <f t="shared" si="11"/>
        <v>1.3832743121765187</v>
      </c>
      <c r="U38" s="748">
        <v>-4283</v>
      </c>
      <c r="V38" s="746">
        <f t="shared" si="12"/>
        <v>27.178120439114156</v>
      </c>
      <c r="W38" s="747">
        <f t="shared" si="13"/>
        <v>6.6338305221256763E-2</v>
      </c>
      <c r="X38" s="722">
        <v>-15759</v>
      </c>
      <c r="Y38" s="767">
        <v>100</v>
      </c>
      <c r="Z38" s="768">
        <f t="shared" si="14"/>
        <v>-0.13998045834073547</v>
      </c>
    </row>
    <row r="39" spans="1:26" s="40" customFormat="1">
      <c r="A39" s="97" t="s">
        <v>256</v>
      </c>
      <c r="B39" s="769" t="s">
        <v>257</v>
      </c>
      <c r="C39" s="773">
        <v>-70198</v>
      </c>
      <c r="D39" s="759">
        <f t="shared" si="0"/>
        <v>257.13553113553115</v>
      </c>
      <c r="E39" s="760">
        <f t="shared" si="1"/>
        <v>-0.13267936795947682</v>
      </c>
      <c r="F39" s="774">
        <v>-36571</v>
      </c>
      <c r="G39" s="762">
        <f t="shared" si="2"/>
        <v>133.95970695970695</v>
      </c>
      <c r="H39" s="763">
        <f t="shared" si="3"/>
        <v>-6.7632144455499379E-2</v>
      </c>
      <c r="I39" s="772">
        <v>-47763</v>
      </c>
      <c r="J39" s="765">
        <f t="shared" si="4"/>
        <v>174.95604395604397</v>
      </c>
      <c r="K39" s="766">
        <f t="shared" si="5"/>
        <v>0.14474996136000653</v>
      </c>
      <c r="L39" s="730">
        <v>-16043</v>
      </c>
      <c r="M39" s="728">
        <f t="shared" si="6"/>
        <v>58.765567765567759</v>
      </c>
      <c r="N39" s="729">
        <f t="shared" si="7"/>
        <v>0.11007355160962758</v>
      </c>
      <c r="O39" s="736">
        <v>-22121</v>
      </c>
      <c r="P39" s="734">
        <f t="shared" si="8"/>
        <v>81.029304029304029</v>
      </c>
      <c r="Q39" s="735">
        <f t="shared" si="9"/>
        <v>9.8906356189863001E-2</v>
      </c>
      <c r="R39" s="742">
        <v>-14290</v>
      </c>
      <c r="S39" s="740">
        <f t="shared" si="10"/>
        <v>52.34432234432235</v>
      </c>
      <c r="T39" s="741">
        <f t="shared" si="11"/>
        <v>3.8926722963770088</v>
      </c>
      <c r="U39" s="748">
        <v>-14243</v>
      </c>
      <c r="V39" s="746">
        <f t="shared" si="12"/>
        <v>52.172161172161168</v>
      </c>
      <c r="W39" s="747">
        <f t="shared" si="13"/>
        <v>0.22060622957421433</v>
      </c>
      <c r="X39" s="722">
        <v>-27300</v>
      </c>
      <c r="Y39" s="767">
        <v>100</v>
      </c>
      <c r="Z39" s="768">
        <f t="shared" si="14"/>
        <v>-0.24249422632794457</v>
      </c>
    </row>
    <row r="40" spans="1:26" s="40" customFormat="1">
      <c r="A40" s="97" t="s">
        <v>258</v>
      </c>
      <c r="B40" s="769" t="s">
        <v>259</v>
      </c>
      <c r="C40" s="775">
        <v>0</v>
      </c>
      <c r="D40" s="759"/>
      <c r="E40" s="760">
        <f t="shared" si="1"/>
        <v>0</v>
      </c>
      <c r="F40" s="774">
        <v>-7229</v>
      </c>
      <c r="G40" s="762"/>
      <c r="H40" s="763">
        <f t="shared" si="3"/>
        <v>-1.3368865283115173E-2</v>
      </c>
      <c r="I40" s="772">
        <v>0</v>
      </c>
      <c r="J40" s="765"/>
      <c r="K40" s="766">
        <f t="shared" si="5"/>
        <v>0</v>
      </c>
      <c r="L40" s="730">
        <v>-10009</v>
      </c>
      <c r="M40" s="728"/>
      <c r="N40" s="729">
        <f t="shared" si="7"/>
        <v>6.8673326563657822E-2</v>
      </c>
      <c r="O40" s="736">
        <v>0</v>
      </c>
      <c r="P40" s="734"/>
      <c r="Q40" s="735">
        <f t="shared" si="9"/>
        <v>0</v>
      </c>
      <c r="R40" s="742">
        <v>0</v>
      </c>
      <c r="S40" s="740"/>
      <c r="T40" s="741">
        <f t="shared" si="11"/>
        <v>0</v>
      </c>
      <c r="U40" s="748">
        <v>0</v>
      </c>
      <c r="V40" s="746"/>
      <c r="W40" s="747">
        <f t="shared" si="13"/>
        <v>0</v>
      </c>
      <c r="X40" s="722">
        <v>0</v>
      </c>
      <c r="Y40" s="767">
        <v>100</v>
      </c>
      <c r="Z40" s="768">
        <f t="shared" si="14"/>
        <v>0</v>
      </c>
    </row>
    <row r="41" spans="1:26" s="40" customFormat="1">
      <c r="A41" s="97" t="s">
        <v>260</v>
      </c>
      <c r="B41" s="769" t="s">
        <v>261</v>
      </c>
      <c r="C41" s="773">
        <v>-13123</v>
      </c>
      <c r="D41" s="759"/>
      <c r="E41" s="760">
        <f t="shared" si="1"/>
        <v>-2.4803432373176081E-2</v>
      </c>
      <c r="F41" s="776">
        <v>0</v>
      </c>
      <c r="G41" s="762"/>
      <c r="H41" s="763">
        <f t="shared" si="3"/>
        <v>0</v>
      </c>
      <c r="I41" s="772">
        <v>0</v>
      </c>
      <c r="J41" s="765"/>
      <c r="K41" s="766">
        <f t="shared" si="5"/>
        <v>0</v>
      </c>
      <c r="L41" s="730">
        <v>0</v>
      </c>
      <c r="M41" s="728"/>
      <c r="N41" s="729">
        <f t="shared" si="7"/>
        <v>0</v>
      </c>
      <c r="O41" s="736">
        <v>0</v>
      </c>
      <c r="P41" s="734"/>
      <c r="Q41" s="735">
        <f t="shared" si="9"/>
        <v>0</v>
      </c>
      <c r="R41" s="742">
        <v>0</v>
      </c>
      <c r="S41" s="740"/>
      <c r="T41" s="741">
        <f t="shared" si="11"/>
        <v>0</v>
      </c>
      <c r="U41" s="748">
        <v>0</v>
      </c>
      <c r="V41" s="746"/>
      <c r="W41" s="747">
        <f t="shared" si="13"/>
        <v>0</v>
      </c>
      <c r="X41" s="722">
        <v>0</v>
      </c>
      <c r="Y41" s="767">
        <v>100</v>
      </c>
      <c r="Z41" s="768">
        <f t="shared" si="14"/>
        <v>0</v>
      </c>
    </row>
    <row r="42" spans="1:26" s="40" customFormat="1">
      <c r="A42" s="119" t="s">
        <v>262</v>
      </c>
      <c r="B42" s="778" t="s">
        <v>263</v>
      </c>
      <c r="C42" s="779">
        <v>-262982</v>
      </c>
      <c r="D42" s="759">
        <f t="shared" si="0"/>
        <v>163.99271647896634</v>
      </c>
      <c r="E42" s="760">
        <f t="shared" si="1"/>
        <v>-0.49705526574431086</v>
      </c>
      <c r="F42" s="780">
        <v>-214854</v>
      </c>
      <c r="G42" s="762">
        <f t="shared" si="2"/>
        <v>133.98061884985222</v>
      </c>
      <c r="H42" s="763">
        <f t="shared" si="3"/>
        <v>-0.39733769283973264</v>
      </c>
      <c r="I42" s="764">
        <v>552079</v>
      </c>
      <c r="J42" s="765">
        <f t="shared" si="4"/>
        <v>-344.27046307728767</v>
      </c>
      <c r="K42" s="766">
        <f t="shared" si="5"/>
        <v>-1.673123838906079</v>
      </c>
      <c r="L42" s="727">
        <v>28564</v>
      </c>
      <c r="M42" s="728">
        <f t="shared" si="6"/>
        <v>-17.812199897731382</v>
      </c>
      <c r="N42" s="729">
        <f t="shared" si="7"/>
        <v>-0.19598210610094136</v>
      </c>
      <c r="O42" s="733">
        <v>351552</v>
      </c>
      <c r="P42" s="734">
        <f t="shared" si="8"/>
        <v>-219.22400568713286</v>
      </c>
      <c r="Q42" s="735">
        <f t="shared" si="9"/>
        <v>-1.5718424723682798</v>
      </c>
      <c r="R42" s="739">
        <v>103155</v>
      </c>
      <c r="S42" s="740">
        <f t="shared" si="10"/>
        <v>-64.326336663299287</v>
      </c>
      <c r="T42" s="741">
        <f t="shared" si="11"/>
        <v>-28.099972759466084</v>
      </c>
      <c r="U42" s="745">
        <v>80262</v>
      </c>
      <c r="V42" s="746">
        <f t="shared" si="12"/>
        <v>-50.05051071949714</v>
      </c>
      <c r="W42" s="747">
        <f t="shared" si="13"/>
        <v>-1.2431578458250081</v>
      </c>
      <c r="X42" s="723">
        <v>-160362</v>
      </c>
      <c r="Y42" s="767">
        <v>100</v>
      </c>
      <c r="Z42" s="768">
        <f t="shared" si="14"/>
        <v>-1.4244270740806537</v>
      </c>
    </row>
    <row r="43" spans="1:26" s="40" customFormat="1">
      <c r="A43" s="120" t="s">
        <v>264</v>
      </c>
      <c r="B43" s="781" t="s">
        <v>265</v>
      </c>
      <c r="C43" s="782">
        <v>0</v>
      </c>
      <c r="D43" s="759"/>
      <c r="E43" s="760">
        <f t="shared" si="1"/>
        <v>0</v>
      </c>
      <c r="F43" s="776">
        <v>0</v>
      </c>
      <c r="G43" s="762"/>
      <c r="H43" s="763">
        <f t="shared" si="3"/>
        <v>0</v>
      </c>
      <c r="I43" s="772">
        <v>0</v>
      </c>
      <c r="J43" s="765"/>
      <c r="K43" s="766">
        <f t="shared" si="5"/>
        <v>0</v>
      </c>
      <c r="L43" s="730">
        <v>0</v>
      </c>
      <c r="M43" s="728"/>
      <c r="N43" s="729">
        <f t="shared" si="7"/>
        <v>0</v>
      </c>
      <c r="O43" s="736">
        <v>332670</v>
      </c>
      <c r="P43" s="734"/>
      <c r="Q43" s="735">
        <f t="shared" si="9"/>
        <v>-1.4874181779160853</v>
      </c>
      <c r="R43" s="742">
        <v>0</v>
      </c>
      <c r="S43" s="740"/>
      <c r="T43" s="741">
        <f t="shared" si="11"/>
        <v>0</v>
      </c>
      <c r="U43" s="748">
        <v>0</v>
      </c>
      <c r="V43" s="746"/>
      <c r="W43" s="747">
        <f t="shared" si="13"/>
        <v>0</v>
      </c>
      <c r="X43" s="722">
        <v>0</v>
      </c>
      <c r="Y43" s="767">
        <v>100</v>
      </c>
      <c r="Z43" s="768">
        <f t="shared" si="14"/>
        <v>0</v>
      </c>
    </row>
    <row r="44" spans="1:26" s="40" customFormat="1">
      <c r="A44" s="120" t="s">
        <v>266</v>
      </c>
      <c r="B44" s="781" t="s">
        <v>267</v>
      </c>
      <c r="C44" s="783">
        <v>-61992</v>
      </c>
      <c r="D44" s="759"/>
      <c r="E44" s="760">
        <f t="shared" si="1"/>
        <v>-0.11716942617373555</v>
      </c>
      <c r="F44" s="774">
        <v>-77368</v>
      </c>
      <c r="G44" s="762"/>
      <c r="H44" s="763">
        <f t="shared" si="3"/>
        <v>-0.14307959181408975</v>
      </c>
      <c r="I44" s="772">
        <v>-50329</v>
      </c>
      <c r="J44" s="765"/>
      <c r="K44" s="766">
        <f t="shared" si="5"/>
        <v>0.15252644945434268</v>
      </c>
      <c r="L44" s="730">
        <v>-52591</v>
      </c>
      <c r="M44" s="728"/>
      <c r="N44" s="729">
        <f t="shared" si="7"/>
        <v>0.36083514010483847</v>
      </c>
      <c r="O44" s="736">
        <v>-5518</v>
      </c>
      <c r="P44" s="734"/>
      <c r="Q44" s="735">
        <f t="shared" si="9"/>
        <v>2.467181743391637E-2</v>
      </c>
      <c r="R44" s="742">
        <v>0</v>
      </c>
      <c r="S44" s="740"/>
      <c r="T44" s="741">
        <f t="shared" si="11"/>
        <v>0</v>
      </c>
      <c r="U44" s="748">
        <v>0</v>
      </c>
      <c r="V44" s="746"/>
      <c r="W44" s="747">
        <f t="shared" si="13"/>
        <v>0</v>
      </c>
      <c r="X44" s="722">
        <v>0</v>
      </c>
      <c r="Y44" s="767">
        <v>100</v>
      </c>
      <c r="Z44" s="768">
        <f t="shared" si="14"/>
        <v>0</v>
      </c>
    </row>
    <row r="45" spans="1:26" s="40" customFormat="1">
      <c r="A45" s="120" t="s">
        <v>268</v>
      </c>
      <c r="B45" s="781" t="s">
        <v>269</v>
      </c>
      <c r="C45" s="784">
        <v>1153228</v>
      </c>
      <c r="D45" s="759">
        <f t="shared" si="0"/>
        <v>178.16909894850031</v>
      </c>
      <c r="E45" s="760">
        <f t="shared" si="1"/>
        <v>2.1796854917970818</v>
      </c>
      <c r="F45" s="771">
        <v>494659</v>
      </c>
      <c r="G45" s="762">
        <f t="shared" si="2"/>
        <v>76.422830799084153</v>
      </c>
      <c r="H45" s="763">
        <f t="shared" si="3"/>
        <v>0.91479174603409441</v>
      </c>
      <c r="I45" s="772">
        <v>1198679</v>
      </c>
      <c r="J45" s="765">
        <f t="shared" si="4"/>
        <v>185.1910960872346</v>
      </c>
      <c r="K45" s="766">
        <f t="shared" si="5"/>
        <v>-3.6327018598716849</v>
      </c>
      <c r="L45" s="730">
        <v>689110</v>
      </c>
      <c r="M45" s="728">
        <f t="shared" si="6"/>
        <v>106.46473011095902</v>
      </c>
      <c r="N45" s="729">
        <f t="shared" si="7"/>
        <v>-4.7280923237368606</v>
      </c>
      <c r="O45" s="736">
        <v>698105</v>
      </c>
      <c r="P45" s="734">
        <f t="shared" si="8"/>
        <v>107.8544215206731</v>
      </c>
      <c r="Q45" s="735">
        <f t="shared" si="9"/>
        <v>-3.1213336552562865</v>
      </c>
      <c r="R45" s="742">
        <v>727649</v>
      </c>
      <c r="S45" s="740">
        <f t="shared" si="10"/>
        <v>112.41885098243998</v>
      </c>
      <c r="T45" s="741">
        <f t="shared" si="11"/>
        <v>-198.21547262326342</v>
      </c>
      <c r="U45" s="748">
        <v>628394</v>
      </c>
      <c r="V45" s="746">
        <f t="shared" si="12"/>
        <v>97.08435171938585</v>
      </c>
      <c r="W45" s="747">
        <f t="shared" si="13"/>
        <v>-9.7330359493827743</v>
      </c>
      <c r="X45" s="722">
        <v>647266</v>
      </c>
      <c r="Y45" s="767">
        <v>100</v>
      </c>
      <c r="Z45" s="768">
        <f t="shared" si="14"/>
        <v>5.749387102504885</v>
      </c>
    </row>
    <row r="46" spans="1:26" s="40" customFormat="1">
      <c r="A46" s="120" t="s">
        <v>270</v>
      </c>
      <c r="B46" s="781" t="s">
        <v>271</v>
      </c>
      <c r="C46" s="783">
        <v>-1321355</v>
      </c>
      <c r="D46" s="759"/>
      <c r="E46" s="760">
        <f t="shared" si="1"/>
        <v>-2.4974578513646328</v>
      </c>
      <c r="F46" s="774">
        <v>-622569</v>
      </c>
      <c r="G46" s="762"/>
      <c r="H46" s="763">
        <f t="shared" si="3"/>
        <v>-1.1513405852045553</v>
      </c>
      <c r="I46" s="772">
        <v>-575486</v>
      </c>
      <c r="J46" s="765"/>
      <c r="K46" s="766">
        <f t="shared" si="5"/>
        <v>1.7440608057120517</v>
      </c>
      <c r="L46" s="730">
        <v>-588090</v>
      </c>
      <c r="M46" s="728"/>
      <c r="N46" s="729">
        <f t="shared" si="7"/>
        <v>4.0349781815187855</v>
      </c>
      <c r="O46" s="736">
        <v>-658452</v>
      </c>
      <c r="P46" s="734"/>
      <c r="Q46" s="735">
        <f t="shared" si="9"/>
        <v>2.9440390599849771</v>
      </c>
      <c r="R46" s="742">
        <v>-616552</v>
      </c>
      <c r="S46" s="740"/>
      <c r="T46" s="741">
        <f t="shared" si="11"/>
        <v>167.95205666031055</v>
      </c>
      <c r="U46" s="748">
        <v>-543148</v>
      </c>
      <c r="V46" s="746"/>
      <c r="W46" s="747">
        <f t="shared" si="13"/>
        <v>8.4126821863915868</v>
      </c>
      <c r="X46" s="722">
        <v>0</v>
      </c>
      <c r="Y46" s="767">
        <v>100</v>
      </c>
      <c r="Z46" s="768">
        <f t="shared" si="14"/>
        <v>0</v>
      </c>
    </row>
    <row r="47" spans="1:26" s="40" customFormat="1">
      <c r="A47" s="120" t="s">
        <v>272</v>
      </c>
      <c r="B47" s="781" t="s">
        <v>273</v>
      </c>
      <c r="C47" s="783">
        <v>-11352</v>
      </c>
      <c r="D47" s="759">
        <f t="shared" si="0"/>
        <v>1.3957279805837419</v>
      </c>
      <c r="E47" s="760">
        <f t="shared" si="1"/>
        <v>-2.1456112497164889E-2</v>
      </c>
      <c r="F47" s="774">
        <v>-11381</v>
      </c>
      <c r="G47" s="762">
        <f t="shared" si="2"/>
        <v>1.3992935295122944</v>
      </c>
      <c r="H47" s="763">
        <f t="shared" si="3"/>
        <v>-2.1047317165186579E-2</v>
      </c>
      <c r="I47" s="772">
        <v>-10267</v>
      </c>
      <c r="J47" s="765">
        <f t="shared" si="4"/>
        <v>1.2623272706706552</v>
      </c>
      <c r="K47" s="766">
        <f t="shared" si="5"/>
        <v>3.1115044140510167E-2</v>
      </c>
      <c r="L47" s="730">
        <v>-8604</v>
      </c>
      <c r="M47" s="728">
        <f t="shared" si="6"/>
        <v>1.0578614821126247</v>
      </c>
      <c r="N47" s="729">
        <f t="shared" si="7"/>
        <v>5.9033400115267448E-2</v>
      </c>
      <c r="O47" s="736">
        <v>0</v>
      </c>
      <c r="P47" s="734">
        <f t="shared" si="8"/>
        <v>0</v>
      </c>
      <c r="Q47" s="735">
        <f t="shared" si="9"/>
        <v>0</v>
      </c>
      <c r="R47" s="742">
        <v>0</v>
      </c>
      <c r="S47" s="740">
        <f t="shared" si="10"/>
        <v>0</v>
      </c>
      <c r="T47" s="741">
        <f t="shared" si="11"/>
        <v>0</v>
      </c>
      <c r="U47" s="748">
        <v>0</v>
      </c>
      <c r="V47" s="746">
        <f t="shared" si="12"/>
        <v>0</v>
      </c>
      <c r="W47" s="747">
        <f t="shared" si="13"/>
        <v>0</v>
      </c>
      <c r="X47" s="722">
        <v>-813339</v>
      </c>
      <c r="Y47" s="767">
        <v>100</v>
      </c>
      <c r="Z47" s="768">
        <f t="shared" si="14"/>
        <v>-7.2245425475217626</v>
      </c>
    </row>
    <row r="48" spans="1:26" s="40" customFormat="1">
      <c r="A48" s="120" t="s">
        <v>274</v>
      </c>
      <c r="B48" s="781" t="s">
        <v>275</v>
      </c>
      <c r="C48" s="782">
        <v>0</v>
      </c>
      <c r="D48" s="759">
        <f t="shared" si="0"/>
        <v>0</v>
      </c>
      <c r="E48" s="760">
        <f t="shared" si="1"/>
        <v>0</v>
      </c>
      <c r="F48" s="776">
        <v>0</v>
      </c>
      <c r="G48" s="762">
        <f t="shared" si="2"/>
        <v>0</v>
      </c>
      <c r="H48" s="763">
        <f t="shared" si="3"/>
        <v>0</v>
      </c>
      <c r="I48" s="772">
        <v>0</v>
      </c>
      <c r="J48" s="765">
        <f t="shared" si="4"/>
        <v>0</v>
      </c>
      <c r="K48" s="766">
        <f t="shared" si="5"/>
        <v>0</v>
      </c>
      <c r="L48" s="730">
        <v>0</v>
      </c>
      <c r="M48" s="728">
        <f t="shared" si="6"/>
        <v>0</v>
      </c>
      <c r="N48" s="729">
        <f t="shared" si="7"/>
        <v>0</v>
      </c>
      <c r="O48" s="736">
        <v>0</v>
      </c>
      <c r="P48" s="734">
        <f t="shared" si="8"/>
        <v>0</v>
      </c>
      <c r="Q48" s="735">
        <f t="shared" si="9"/>
        <v>0</v>
      </c>
      <c r="R48" s="742">
        <v>0</v>
      </c>
      <c r="S48" s="740">
        <f t="shared" si="10"/>
        <v>0</v>
      </c>
      <c r="T48" s="741">
        <f t="shared" si="11"/>
        <v>0</v>
      </c>
      <c r="U48" s="748">
        <v>0</v>
      </c>
      <c r="V48" s="746">
        <f t="shared" si="12"/>
        <v>0</v>
      </c>
      <c r="W48" s="747">
        <f t="shared" si="13"/>
        <v>0</v>
      </c>
      <c r="X48" s="722">
        <v>20318</v>
      </c>
      <c r="Y48" s="767">
        <v>100</v>
      </c>
      <c r="Z48" s="768">
        <f t="shared" si="14"/>
        <v>0.18047610588026292</v>
      </c>
    </row>
    <row r="49" spans="1:26" s="40" customFormat="1">
      <c r="A49" s="120" t="s">
        <v>276</v>
      </c>
      <c r="B49" s="781" t="s">
        <v>277</v>
      </c>
      <c r="C49" s="783">
        <v>-9201</v>
      </c>
      <c r="D49" s="759"/>
      <c r="E49" s="760">
        <f t="shared" si="1"/>
        <v>-1.7390564753912451E-2</v>
      </c>
      <c r="F49" s="776">
        <v>0</v>
      </c>
      <c r="G49" s="762"/>
      <c r="H49" s="763">
        <f t="shared" si="3"/>
        <v>0</v>
      </c>
      <c r="I49" s="772">
        <v>0</v>
      </c>
      <c r="J49" s="765"/>
      <c r="K49" s="766">
        <f t="shared" si="5"/>
        <v>0</v>
      </c>
      <c r="L49" s="730">
        <v>-14632</v>
      </c>
      <c r="M49" s="728"/>
      <c r="N49" s="729">
        <f t="shared" si="7"/>
        <v>0.10039245821555012</v>
      </c>
      <c r="O49" s="736">
        <v>-1901</v>
      </c>
      <c r="P49" s="734"/>
      <c r="Q49" s="735">
        <f t="shared" si="9"/>
        <v>8.4996601924383873E-3</v>
      </c>
      <c r="R49" s="742">
        <v>0</v>
      </c>
      <c r="S49" s="740"/>
      <c r="T49" s="741">
        <f t="shared" si="11"/>
        <v>0</v>
      </c>
      <c r="U49" s="748">
        <v>0</v>
      </c>
      <c r="V49" s="746"/>
      <c r="W49" s="747">
        <f t="shared" si="13"/>
        <v>0</v>
      </c>
      <c r="X49" s="722">
        <v>0</v>
      </c>
      <c r="Y49" s="767">
        <v>100</v>
      </c>
      <c r="Z49" s="768">
        <f t="shared" si="14"/>
        <v>0</v>
      </c>
    </row>
    <row r="50" spans="1:26" s="40" customFormat="1">
      <c r="A50" s="120" t="s">
        <v>278</v>
      </c>
      <c r="B50" s="781" t="s">
        <v>279</v>
      </c>
      <c r="C50" s="784">
        <v>2799</v>
      </c>
      <c r="D50" s="759"/>
      <c r="E50" s="760">
        <f t="shared" si="1"/>
        <v>5.2903152642322518E-3</v>
      </c>
      <c r="F50" s="776">
        <v>585</v>
      </c>
      <c r="G50" s="762"/>
      <c r="H50" s="763">
        <f t="shared" si="3"/>
        <v>1.0818628013034134E-3</v>
      </c>
      <c r="I50" s="772">
        <v>983</v>
      </c>
      <c r="J50" s="765"/>
      <c r="K50" s="766">
        <f t="shared" si="5"/>
        <v>-2.9790677306049964E-3</v>
      </c>
      <c r="L50" s="730">
        <v>3371</v>
      </c>
      <c r="M50" s="728"/>
      <c r="N50" s="729">
        <f t="shared" si="7"/>
        <v>-2.3128962318522382E-2</v>
      </c>
      <c r="O50" s="736">
        <v>394</v>
      </c>
      <c r="P50" s="734"/>
      <c r="Q50" s="735">
        <f t="shared" si="9"/>
        <v>-1.7616339378331008E-3</v>
      </c>
      <c r="R50" s="742">
        <v>0</v>
      </c>
      <c r="S50" s="740"/>
      <c r="T50" s="741">
        <f t="shared" si="11"/>
        <v>0</v>
      </c>
      <c r="U50" s="748">
        <v>0</v>
      </c>
      <c r="V50" s="746"/>
      <c r="W50" s="747">
        <f t="shared" si="13"/>
        <v>0</v>
      </c>
      <c r="X50" s="722">
        <v>0</v>
      </c>
      <c r="Y50" s="767">
        <v>100</v>
      </c>
      <c r="Z50" s="768">
        <f t="shared" si="14"/>
        <v>0</v>
      </c>
    </row>
    <row r="51" spans="1:26" s="40" customFormat="1">
      <c r="A51" s="120" t="s">
        <v>280</v>
      </c>
      <c r="B51" s="769" t="s">
        <v>281</v>
      </c>
      <c r="C51" s="773">
        <v>-1937</v>
      </c>
      <c r="D51" s="759">
        <f t="shared" si="0"/>
        <v>14.155217772581116</v>
      </c>
      <c r="E51" s="760">
        <f t="shared" si="1"/>
        <v>-3.6610720495955243E-3</v>
      </c>
      <c r="F51" s="771">
        <v>1220</v>
      </c>
      <c r="G51" s="762">
        <f t="shared" si="2"/>
        <v>-8.9155217772581121</v>
      </c>
      <c r="H51" s="763">
        <f t="shared" si="3"/>
        <v>2.2561925087011356E-3</v>
      </c>
      <c r="I51" s="772">
        <v>-1354</v>
      </c>
      <c r="J51" s="765">
        <f t="shared" si="4"/>
        <v>9.8947676118094137</v>
      </c>
      <c r="K51" s="766">
        <f t="shared" si="5"/>
        <v>4.1034157754213279E-3</v>
      </c>
      <c r="L51" s="730">
        <v>0</v>
      </c>
      <c r="M51" s="728">
        <f t="shared" si="6"/>
        <v>0</v>
      </c>
      <c r="N51" s="729">
        <f t="shared" si="7"/>
        <v>0</v>
      </c>
      <c r="O51" s="736">
        <v>394</v>
      </c>
      <c r="P51" s="734">
        <f t="shared" si="8"/>
        <v>-2.8792750657702424</v>
      </c>
      <c r="Q51" s="735">
        <f t="shared" si="9"/>
        <v>-1.7616339378331008E-3</v>
      </c>
      <c r="R51" s="742">
        <v>-2460</v>
      </c>
      <c r="S51" s="740">
        <f t="shared" si="10"/>
        <v>17.977199649225373</v>
      </c>
      <c r="T51" s="741">
        <f t="shared" si="11"/>
        <v>0.6701171342958322</v>
      </c>
      <c r="U51" s="748">
        <v>-4029</v>
      </c>
      <c r="V51" s="746">
        <f t="shared" si="12"/>
        <v>29.443145279158138</v>
      </c>
      <c r="W51" s="747">
        <f t="shared" si="13"/>
        <v>6.2404163375307839E-2</v>
      </c>
      <c r="X51" s="722">
        <v>-13684</v>
      </c>
      <c r="Y51" s="767">
        <v>100</v>
      </c>
      <c r="Z51" s="768">
        <f t="shared" si="14"/>
        <v>-0.1215491206253331</v>
      </c>
    </row>
    <row r="52" spans="1:26" s="40" customFormat="1">
      <c r="A52" s="120" t="s">
        <v>282</v>
      </c>
      <c r="B52" s="769" t="s">
        <v>259</v>
      </c>
      <c r="C52" s="773">
        <v>-13172</v>
      </c>
      <c r="D52" s="759"/>
      <c r="E52" s="760">
        <f t="shared" si="1"/>
        <v>-2.4896045966583503E-2</v>
      </c>
      <c r="F52" s="776">
        <v>0</v>
      </c>
      <c r="G52" s="762"/>
      <c r="H52" s="763">
        <f t="shared" si="3"/>
        <v>0</v>
      </c>
      <c r="I52" s="772">
        <v>-10147</v>
      </c>
      <c r="J52" s="765"/>
      <c r="K52" s="766">
        <f t="shared" si="5"/>
        <v>3.0751373613884941E-2</v>
      </c>
      <c r="L52" s="730">
        <v>0</v>
      </c>
      <c r="M52" s="728"/>
      <c r="N52" s="729">
        <f t="shared" si="7"/>
        <v>0</v>
      </c>
      <c r="O52" s="736">
        <v>-5331</v>
      </c>
      <c r="P52" s="734"/>
      <c r="Q52" s="735">
        <f t="shared" si="9"/>
        <v>2.3835711986264621E-2</v>
      </c>
      <c r="R52" s="742">
        <v>0</v>
      </c>
      <c r="S52" s="740"/>
      <c r="T52" s="741">
        <f t="shared" si="11"/>
        <v>0</v>
      </c>
      <c r="U52" s="748">
        <v>0</v>
      </c>
      <c r="V52" s="746"/>
      <c r="W52" s="747">
        <f t="shared" si="13"/>
        <v>0</v>
      </c>
      <c r="X52" s="722">
        <v>0</v>
      </c>
      <c r="Y52" s="767">
        <v>100</v>
      </c>
      <c r="Z52" s="768">
        <f t="shared" si="14"/>
        <v>0</v>
      </c>
    </row>
    <row r="53" spans="1:26" s="40" customFormat="1">
      <c r="A53" s="121" t="s">
        <v>283</v>
      </c>
      <c r="B53" s="785" t="s">
        <v>284</v>
      </c>
      <c r="C53" s="786">
        <v>-4018</v>
      </c>
      <c r="D53" s="759">
        <f t="shared" si="0"/>
        <v>-1380.7560137457044</v>
      </c>
      <c r="E53" s="760">
        <f t="shared" si="1"/>
        <v>-7.594314659408785E-3</v>
      </c>
      <c r="F53" s="787">
        <v>216</v>
      </c>
      <c r="G53" s="762">
        <f t="shared" si="2"/>
        <v>74.226804123711347</v>
      </c>
      <c r="H53" s="763">
        <f t="shared" si="3"/>
        <v>3.9945703432741421E-4</v>
      </c>
      <c r="I53" s="788">
        <v>1061</v>
      </c>
      <c r="J53" s="765">
        <f t="shared" si="4"/>
        <v>364.60481099656357</v>
      </c>
      <c r="K53" s="766">
        <f t="shared" si="5"/>
        <v>-3.2154535729113946E-3</v>
      </c>
      <c r="L53" s="730">
        <v>-937</v>
      </c>
      <c r="M53" s="728">
        <f t="shared" si="6"/>
        <v>-321.99312714776636</v>
      </c>
      <c r="N53" s="729">
        <f t="shared" si="7"/>
        <v>6.4289046847984194E-3</v>
      </c>
      <c r="O53" s="736">
        <v>-1141</v>
      </c>
      <c r="P53" s="734">
        <f t="shared" si="8"/>
        <v>-392.09621993127143</v>
      </c>
      <c r="Q53" s="735">
        <f t="shared" si="9"/>
        <v>5.1015845763136246E-3</v>
      </c>
      <c r="R53" s="742">
        <v>-150</v>
      </c>
      <c r="S53" s="740">
        <f t="shared" si="10"/>
        <v>-51.546391752577314</v>
      </c>
      <c r="T53" s="741">
        <f t="shared" si="11"/>
        <v>4.0860800871697085E-2</v>
      </c>
      <c r="U53" s="748">
        <v>676</v>
      </c>
      <c r="V53" s="746">
        <f t="shared" si="12"/>
        <v>232.30240549828181</v>
      </c>
      <c r="W53" s="747">
        <f t="shared" si="13"/>
        <v>-1.047039325929712E-2</v>
      </c>
      <c r="X53" s="723">
        <v>291</v>
      </c>
      <c r="Y53" s="767">
        <v>100</v>
      </c>
      <c r="Z53" s="768">
        <f t="shared" si="14"/>
        <v>2.5848285663528157E-3</v>
      </c>
    </row>
    <row r="54" spans="1:26" s="40" customFormat="1">
      <c r="A54" s="122" t="s">
        <v>285</v>
      </c>
      <c r="B54" s="789" t="s">
        <v>286</v>
      </c>
      <c r="C54" s="786">
        <v>-24446</v>
      </c>
      <c r="D54" s="759">
        <f t="shared" si="0"/>
        <v>26.997239094422969</v>
      </c>
      <c r="E54" s="760">
        <f t="shared" si="1"/>
        <v>-4.6204732743630454E-2</v>
      </c>
      <c r="F54" s="761">
        <v>164799</v>
      </c>
      <c r="G54" s="762">
        <f t="shared" si="2"/>
        <v>-181.99779127553836</v>
      </c>
      <c r="H54" s="763">
        <f t="shared" si="3"/>
        <v>0.30476907314872009</v>
      </c>
      <c r="I54" s="764">
        <v>67569</v>
      </c>
      <c r="J54" s="765">
        <f t="shared" si="4"/>
        <v>-74.620651573716174</v>
      </c>
      <c r="K54" s="766">
        <f t="shared" si="5"/>
        <v>-0.20477378177950051</v>
      </c>
      <c r="L54" s="731">
        <v>-185155</v>
      </c>
      <c r="M54" s="728">
        <f t="shared" si="6"/>
        <v>204.47818884594147</v>
      </c>
      <c r="N54" s="729">
        <f t="shared" si="7"/>
        <v>1.2703776381151028</v>
      </c>
      <c r="O54" s="737">
        <v>83448</v>
      </c>
      <c r="P54" s="734">
        <f t="shared" si="8"/>
        <v>-92.156819436775265</v>
      </c>
      <c r="Q54" s="735">
        <f t="shared" si="9"/>
        <v>-0.373108702650499</v>
      </c>
      <c r="R54" s="743">
        <v>67366</v>
      </c>
      <c r="S54" s="740">
        <f t="shared" si="10"/>
        <v>-74.396466040861398</v>
      </c>
      <c r="T54" s="741">
        <f t="shared" si="11"/>
        <v>-18.350858076818305</v>
      </c>
      <c r="U54" s="749">
        <v>5522</v>
      </c>
      <c r="V54" s="746">
        <f t="shared" si="12"/>
        <v>-6.0982882385422421</v>
      </c>
      <c r="W54" s="747">
        <f t="shared" si="13"/>
        <v>-8.5528863280826484E-2</v>
      </c>
      <c r="X54" s="723">
        <v>-90550</v>
      </c>
      <c r="Y54" s="767">
        <v>100</v>
      </c>
      <c r="Z54" s="768">
        <f t="shared" si="14"/>
        <v>-0.804316930182981</v>
      </c>
    </row>
    <row r="55" spans="1:26" s="40" customFormat="1">
      <c r="A55" s="97" t="s">
        <v>287</v>
      </c>
      <c r="B55" s="769" t="s">
        <v>288</v>
      </c>
      <c r="C55" s="770">
        <v>591375</v>
      </c>
      <c r="D55" s="759">
        <f t="shared" si="0"/>
        <v>123.62137732662173</v>
      </c>
      <c r="E55" s="760">
        <f t="shared" si="1"/>
        <v>1.1177421183941938</v>
      </c>
      <c r="F55" s="771">
        <v>426576</v>
      </c>
      <c r="G55" s="762">
        <f t="shared" si="2"/>
        <v>89.171697576801506</v>
      </c>
      <c r="H55" s="763">
        <f t="shared" si="3"/>
        <v>0.78888325868171782</v>
      </c>
      <c r="I55" s="772">
        <v>359007</v>
      </c>
      <c r="J55" s="765">
        <f t="shared" si="4"/>
        <v>75.04703413214709</v>
      </c>
      <c r="K55" s="766">
        <f t="shared" si="5"/>
        <v>-1.0880022062678616</v>
      </c>
      <c r="L55" s="730">
        <v>544162</v>
      </c>
      <c r="M55" s="728">
        <f t="shared" si="6"/>
        <v>113.75194407746207</v>
      </c>
      <c r="N55" s="729">
        <f t="shared" si="7"/>
        <v>-3.7335812498284708</v>
      </c>
      <c r="O55" s="736">
        <v>460714</v>
      </c>
      <c r="P55" s="734">
        <f t="shared" si="8"/>
        <v>96.307925146746484</v>
      </c>
      <c r="Q55" s="735">
        <f t="shared" si="9"/>
        <v>-2.0599223807990845</v>
      </c>
      <c r="R55" s="742">
        <v>393348</v>
      </c>
      <c r="S55" s="740">
        <f t="shared" si="10"/>
        <v>82.225696941318134</v>
      </c>
      <c r="T55" s="741">
        <f t="shared" si="11"/>
        <v>-107.15009534186871</v>
      </c>
      <c r="U55" s="748">
        <v>387826</v>
      </c>
      <c r="V55" s="746">
        <f t="shared" si="12"/>
        <v>81.071374818134686</v>
      </c>
      <c r="W55" s="747">
        <f t="shared" si="13"/>
        <v>-6.0069389588463977</v>
      </c>
      <c r="X55" s="722">
        <v>478376</v>
      </c>
      <c r="Y55" s="767">
        <v>100</v>
      </c>
      <c r="Z55" s="768">
        <f t="shared" si="14"/>
        <v>4.249209451057026</v>
      </c>
    </row>
    <row r="56" spans="1:26" s="40" customFormat="1">
      <c r="A56" s="97" t="s">
        <v>289</v>
      </c>
      <c r="B56" s="769" t="s">
        <v>290</v>
      </c>
      <c r="C56" s="770">
        <v>566929</v>
      </c>
      <c r="D56" s="759">
        <f t="shared" si="0"/>
        <v>146.18127717068995</v>
      </c>
      <c r="E56" s="760">
        <f t="shared" si="1"/>
        <v>1.0715373856505632</v>
      </c>
      <c r="F56" s="771">
        <v>591375</v>
      </c>
      <c r="G56" s="762">
        <f t="shared" si="2"/>
        <v>152.48461939117027</v>
      </c>
      <c r="H56" s="763">
        <f t="shared" si="3"/>
        <v>1.0936523318304379</v>
      </c>
      <c r="I56" s="772">
        <v>426576</v>
      </c>
      <c r="J56" s="765">
        <f t="shared" si="4"/>
        <v>109.99159416851887</v>
      </c>
      <c r="K56" s="766">
        <f t="shared" si="5"/>
        <v>-1.2927759880473619</v>
      </c>
      <c r="L56" s="730">
        <v>359007</v>
      </c>
      <c r="M56" s="728">
        <f t="shared" si="6"/>
        <v>92.569090262127858</v>
      </c>
      <c r="N56" s="729">
        <f t="shared" si="7"/>
        <v>-2.4632036117133684</v>
      </c>
      <c r="O56" s="736">
        <v>544162</v>
      </c>
      <c r="P56" s="734">
        <f t="shared" si="8"/>
        <v>140.31086105624689</v>
      </c>
      <c r="Q56" s="735">
        <f t="shared" si="9"/>
        <v>-2.4330310834495834</v>
      </c>
      <c r="R56" s="742">
        <v>460714</v>
      </c>
      <c r="S56" s="740">
        <f t="shared" si="10"/>
        <v>118.79399524529042</v>
      </c>
      <c r="T56" s="741">
        <f t="shared" si="11"/>
        <v>-125.500953418687</v>
      </c>
      <c r="U56" s="748">
        <v>393348</v>
      </c>
      <c r="V56" s="746">
        <f t="shared" si="12"/>
        <v>101.42383439996287</v>
      </c>
      <c r="W56" s="747">
        <f t="shared" si="13"/>
        <v>-6.0924678221272242</v>
      </c>
      <c r="X56" s="722">
        <v>387826</v>
      </c>
      <c r="Y56" s="767">
        <v>100</v>
      </c>
      <c r="Z56" s="768">
        <f t="shared" si="14"/>
        <v>3.4448925208740451</v>
      </c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CBC6-7AEF-1B42-B6DA-4DBBE9B6A6E0}">
  <dimension ref="A1:AG76"/>
  <sheetViews>
    <sheetView zoomScale="63" workbookViewId="0">
      <selection activeCell="F12" sqref="F12"/>
    </sheetView>
  </sheetViews>
  <sheetFormatPr defaultColWidth="11.5703125" defaultRowHeight="15"/>
  <cols>
    <col min="1" max="1" width="40.85546875" bestFit="1" customWidth="1"/>
    <col min="2" max="2" width="57.140625" bestFit="1" customWidth="1"/>
    <col min="3" max="3" width="13.28515625" bestFit="1" customWidth="1"/>
    <col min="4" max="4" width="13.7109375" bestFit="1" customWidth="1"/>
    <col min="5" max="5" width="9.140625" bestFit="1" customWidth="1"/>
    <col min="6" max="6" width="18" bestFit="1" customWidth="1"/>
    <col min="7" max="7" width="14.85546875" bestFit="1" customWidth="1"/>
    <col min="8" max="8" width="12.85546875" customWidth="1"/>
    <col min="9" max="9" width="21.140625" style="42" customWidth="1"/>
    <col min="10" max="10" width="16.7109375" style="39" customWidth="1"/>
    <col min="11" max="11" width="11.7109375" style="43" bestFit="1" customWidth="1"/>
    <col min="12" max="12" width="20.140625" style="42" customWidth="1"/>
    <col min="13" max="13" width="18.28515625" style="42" customWidth="1"/>
    <col min="14" max="14" width="11.7109375" style="42" bestFit="1" customWidth="1"/>
    <col min="15" max="15" width="21.140625" style="42" customWidth="1"/>
    <col min="16" max="16" width="16.28515625" style="42" customWidth="1"/>
    <col min="17" max="17" width="11.7109375" style="42" bestFit="1" customWidth="1"/>
    <col min="18" max="18" width="19.7109375" customWidth="1"/>
    <col min="19" max="19" width="17.28515625" customWidth="1"/>
    <col min="20" max="20" width="11.7109375" bestFit="1" customWidth="1"/>
    <col min="21" max="21" width="19.28515625" customWidth="1"/>
    <col min="24" max="24" width="18" customWidth="1"/>
  </cols>
  <sheetData>
    <row r="1" spans="1:33" ht="45" customHeight="1" thickBot="1">
      <c r="A1" s="798" t="s">
        <v>308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799"/>
      <c r="P1" s="799"/>
      <c r="Q1" s="799"/>
      <c r="R1" s="799"/>
      <c r="S1" s="799"/>
      <c r="T1" s="799"/>
      <c r="U1" s="799"/>
      <c r="V1" s="799"/>
      <c r="W1" s="799"/>
      <c r="X1" s="799"/>
      <c r="Y1" s="799"/>
      <c r="Z1" s="800"/>
    </row>
    <row r="2" spans="1:33" ht="34.15" customHeight="1">
      <c r="A2" s="241" t="s">
        <v>1</v>
      </c>
      <c r="B2" s="242" t="s">
        <v>2</v>
      </c>
      <c r="C2" s="625">
        <v>2024</v>
      </c>
      <c r="D2" s="624" t="s">
        <v>292</v>
      </c>
      <c r="E2" s="624" t="s">
        <v>293</v>
      </c>
      <c r="F2" s="303">
        <v>2023</v>
      </c>
      <c r="G2" s="304" t="s">
        <v>294</v>
      </c>
      <c r="H2" s="305" t="s">
        <v>295</v>
      </c>
      <c r="I2" s="243">
        <v>2022</v>
      </c>
      <c r="J2" s="244" t="s">
        <v>296</v>
      </c>
      <c r="K2" s="245" t="s">
        <v>297</v>
      </c>
      <c r="L2" s="246">
        <v>2021</v>
      </c>
      <c r="M2" s="247" t="s">
        <v>298</v>
      </c>
      <c r="N2" s="248" t="s">
        <v>299</v>
      </c>
      <c r="O2" s="249">
        <v>2020</v>
      </c>
      <c r="P2" s="250" t="s">
        <v>300</v>
      </c>
      <c r="Q2" s="251" t="s">
        <v>301</v>
      </c>
      <c r="R2" s="252">
        <v>2019</v>
      </c>
      <c r="S2" s="253" t="s">
        <v>302</v>
      </c>
      <c r="T2" s="254" t="s">
        <v>303</v>
      </c>
      <c r="U2" s="255">
        <v>2018</v>
      </c>
      <c r="V2" s="256" t="s">
        <v>304</v>
      </c>
      <c r="W2" s="257" t="s">
        <v>305</v>
      </c>
      <c r="X2" s="258">
        <v>2017</v>
      </c>
      <c r="Y2" s="259" t="s">
        <v>306</v>
      </c>
      <c r="Z2" s="260" t="s">
        <v>305</v>
      </c>
      <c r="AA2" s="38"/>
      <c r="AC2" s="39"/>
      <c r="AE2" s="39"/>
      <c r="AG2" s="40"/>
    </row>
    <row r="3" spans="1:33">
      <c r="A3" s="7">
        <v>1</v>
      </c>
      <c r="B3" s="8" t="s">
        <v>3</v>
      </c>
      <c r="C3" s="626">
        <v>4466987</v>
      </c>
      <c r="D3" s="620">
        <f>(C3/X3)*Y3</f>
        <v>257.63265640400977</v>
      </c>
      <c r="E3" s="621">
        <f>F3/F3</f>
        <v>1</v>
      </c>
      <c r="F3" s="383">
        <v>4581833</v>
      </c>
      <c r="G3" s="306">
        <f>(F$3/X3)*$Y3</f>
        <v>264.25637840216535</v>
      </c>
      <c r="H3" s="307">
        <f>$I$3/$I$3</f>
        <v>1</v>
      </c>
      <c r="I3" s="377">
        <v>4199825</v>
      </c>
      <c r="J3" s="195">
        <f>(I$3/X3)*$Y3</f>
        <v>242.22413702613648</v>
      </c>
      <c r="K3" s="196">
        <f>$L$3/$L$3</f>
        <v>1</v>
      </c>
      <c r="L3" s="370">
        <v>3754136</v>
      </c>
      <c r="M3" s="203">
        <f>(L$3/X3)*$Y3</f>
        <v>216.51910564815248</v>
      </c>
      <c r="N3" s="204">
        <f>$L$3/$L$3</f>
        <v>1</v>
      </c>
      <c r="O3" s="364">
        <v>2824635</v>
      </c>
      <c r="P3" s="212">
        <f>(O$3/X3)*$Y3</f>
        <v>162.91030585532042</v>
      </c>
      <c r="Q3" s="213">
        <f>$O$3/$O$3</f>
        <v>1</v>
      </c>
      <c r="R3" s="358">
        <v>1945403</v>
      </c>
      <c r="S3" s="220">
        <f>(R$3/X3)*$Y3</f>
        <v>112.20076142293</v>
      </c>
      <c r="T3" s="221">
        <f>$R$3/$R$3</f>
        <v>1</v>
      </c>
      <c r="U3" s="353">
        <v>1789529</v>
      </c>
      <c r="V3" s="228">
        <f>(U3/X3)*Y3</f>
        <v>103.21075704541143</v>
      </c>
      <c r="W3" s="229">
        <f>$U$3/$U$3</f>
        <v>1</v>
      </c>
      <c r="X3" s="349">
        <v>1733859</v>
      </c>
      <c r="Y3" s="235">
        <v>100</v>
      </c>
      <c r="Z3" s="236">
        <f>X3/$X$3</f>
        <v>1</v>
      </c>
      <c r="AA3" s="41"/>
      <c r="AC3" s="4"/>
      <c r="AE3" s="4"/>
      <c r="AG3" s="4"/>
    </row>
    <row r="4" spans="1:33">
      <c r="A4" s="10" t="s">
        <v>4</v>
      </c>
      <c r="B4" s="11" t="s">
        <v>5</v>
      </c>
      <c r="C4" s="627">
        <v>2967747</v>
      </c>
      <c r="D4" s="620">
        <f t="shared" ref="D4:D67" si="0">(C4/X4)*Y4</f>
        <v>210.27986327809472</v>
      </c>
      <c r="E4" s="622">
        <f>C4/$C$3</f>
        <v>0.66437332367432456</v>
      </c>
      <c r="F4" s="384">
        <v>3575173</v>
      </c>
      <c r="G4" s="306">
        <f>(F$3/X4)*$Y4</f>
        <v>324.64600816817023</v>
      </c>
      <c r="H4" s="308">
        <f>$F4/$F$3</f>
        <v>0.78029317087724503</v>
      </c>
      <c r="I4" s="378">
        <v>3430062</v>
      </c>
      <c r="J4" s="195">
        <f t="shared" ref="J4:J67" si="1">(I$3/X4)*$Y4</f>
        <v>297.5788120725669</v>
      </c>
      <c r="K4" s="197">
        <f>$I4/$I$3</f>
        <v>0.8167154583821945</v>
      </c>
      <c r="L4" s="371">
        <v>3120040</v>
      </c>
      <c r="M4" s="203">
        <f t="shared" ref="M4:M67" si="2">(L$3/X4)*$Y4</f>
        <v>265.99949551204111</v>
      </c>
      <c r="N4" s="205">
        <f>$L4/$L$3</f>
        <v>0.83109402536295973</v>
      </c>
      <c r="O4" s="365">
        <v>2211237</v>
      </c>
      <c r="P4" s="212">
        <f t="shared" ref="P4:P67" si="3">(O$3/X4)*$Y4</f>
        <v>200.13965530435081</v>
      </c>
      <c r="Q4" s="214">
        <f t="shared" ref="Q4:Q32" si="4">$O4/$O$3</f>
        <v>0.7828399067490136</v>
      </c>
      <c r="R4" s="359">
        <v>1471763</v>
      </c>
      <c r="S4" s="220">
        <f t="shared" ref="S4:S67" si="5">(R$3/X4)*$Y4</f>
        <v>137.8416276255339</v>
      </c>
      <c r="T4" s="222">
        <f t="shared" ref="T4:T32" si="6">$R4/$R$3</f>
        <v>0.7565337361975899</v>
      </c>
      <c r="U4" s="354">
        <v>1418740</v>
      </c>
      <c r="V4" s="228">
        <f t="shared" ref="V4:V67" si="7">(U4/X4)*Y4</f>
        <v>100.52489421340975</v>
      </c>
      <c r="W4" s="230">
        <f>$U4/$U$3</f>
        <v>0.79280078724625302</v>
      </c>
      <c r="X4" s="350">
        <v>1411332</v>
      </c>
      <c r="Y4" s="237">
        <v>100</v>
      </c>
      <c r="Z4" s="238">
        <f t="shared" ref="Z4:Z67" si="8">X4/$X$3</f>
        <v>0.8139831439580727</v>
      </c>
      <c r="AA4" s="41"/>
      <c r="AC4" s="4"/>
      <c r="AE4" s="4"/>
      <c r="AG4" s="4"/>
    </row>
    <row r="5" spans="1:33">
      <c r="A5" s="14" t="s">
        <v>6</v>
      </c>
      <c r="B5" s="15" t="s">
        <v>7</v>
      </c>
      <c r="C5" s="628">
        <v>566929</v>
      </c>
      <c r="D5" s="620">
        <f t="shared" si="0"/>
        <v>146.18127717068995</v>
      </c>
      <c r="E5" s="622">
        <f t="shared" ref="E5:E68" si="9">C5/$C$3</f>
        <v>0.12691530107430354</v>
      </c>
      <c r="F5" s="337">
        <v>591375</v>
      </c>
      <c r="G5" s="306">
        <f>(F$3/X5)*$Y5</f>
        <v>1181.4146034561891</v>
      </c>
      <c r="H5" s="308">
        <f>$F5/$F$3</f>
        <v>0.12906952304896316</v>
      </c>
      <c r="I5" s="339">
        <v>426576</v>
      </c>
      <c r="J5" s="195">
        <f t="shared" si="1"/>
        <v>1082.9147607432199</v>
      </c>
      <c r="K5" s="198">
        <f>$I5/$I$3</f>
        <v>0.10156994636681291</v>
      </c>
      <c r="L5" s="341">
        <v>359007</v>
      </c>
      <c r="M5" s="203">
        <f t="shared" si="2"/>
        <v>967.99492555940037</v>
      </c>
      <c r="N5" s="206">
        <f>$L5/$L$3</f>
        <v>9.5629726786669422E-2</v>
      </c>
      <c r="O5" s="344">
        <v>544162</v>
      </c>
      <c r="P5" s="212">
        <f t="shared" si="3"/>
        <v>728.32533146307878</v>
      </c>
      <c r="Q5" s="215">
        <f t="shared" si="4"/>
        <v>0.19264860769621561</v>
      </c>
      <c r="R5" s="346">
        <v>460714</v>
      </c>
      <c r="S5" s="220">
        <f t="shared" si="5"/>
        <v>501.61747794113853</v>
      </c>
      <c r="T5" s="223">
        <f t="shared" si="6"/>
        <v>0.23682188214986818</v>
      </c>
      <c r="U5" s="348">
        <v>393348</v>
      </c>
      <c r="V5" s="228">
        <f>(U5/X5)*Y5</f>
        <v>101.42383439996287</v>
      </c>
      <c r="W5" s="231">
        <f t="shared" ref="W5:W32" si="10">$U5/$U$3</f>
        <v>0.21980532307663078</v>
      </c>
      <c r="X5" s="351">
        <v>387826</v>
      </c>
      <c r="Y5" s="237">
        <v>100</v>
      </c>
      <c r="Z5" s="238">
        <f t="shared" si="8"/>
        <v>0.22367793459560437</v>
      </c>
      <c r="AA5" s="41"/>
      <c r="AC5" s="4"/>
      <c r="AE5" s="4"/>
      <c r="AG5" s="4"/>
    </row>
    <row r="6" spans="1:33">
      <c r="A6" s="14" t="s">
        <v>8</v>
      </c>
      <c r="B6" s="15" t="s">
        <v>9</v>
      </c>
      <c r="C6" s="629">
        <v>0</v>
      </c>
      <c r="D6" s="620">
        <v>0</v>
      </c>
      <c r="E6" s="622">
        <f t="shared" si="9"/>
        <v>0</v>
      </c>
      <c r="F6" s="337">
        <v>0</v>
      </c>
      <c r="G6" s="306"/>
      <c r="H6" s="308">
        <f t="shared" ref="H5:H68" si="11">$F6/$F$3</f>
        <v>0</v>
      </c>
      <c r="I6" s="339">
        <v>0</v>
      </c>
      <c r="J6" s="195"/>
      <c r="K6" s="198">
        <f t="shared" ref="K6:K16" si="12">$I6/$I$3</f>
        <v>0</v>
      </c>
      <c r="L6" s="341">
        <v>0</v>
      </c>
      <c r="M6" s="203"/>
      <c r="N6" s="206">
        <f t="shared" ref="N6:N31" si="13">$L6/$L$3</f>
        <v>0</v>
      </c>
      <c r="O6" s="344">
        <v>0</v>
      </c>
      <c r="P6" s="212"/>
      <c r="Q6" s="215">
        <f t="shared" si="4"/>
        <v>0</v>
      </c>
      <c r="R6" s="346">
        <v>0</v>
      </c>
      <c r="S6" s="220"/>
      <c r="T6" s="223">
        <f t="shared" si="6"/>
        <v>0</v>
      </c>
      <c r="U6" s="348">
        <v>0</v>
      </c>
      <c r="V6" s="228"/>
      <c r="W6" s="231">
        <f t="shared" si="10"/>
        <v>0</v>
      </c>
      <c r="X6" s="351">
        <v>0</v>
      </c>
      <c r="Y6" s="237">
        <v>100</v>
      </c>
      <c r="Z6" s="238">
        <f t="shared" si="8"/>
        <v>0</v>
      </c>
      <c r="AA6" s="41"/>
      <c r="AC6" s="4"/>
      <c r="AE6" s="4"/>
      <c r="AG6" s="4"/>
    </row>
    <row r="7" spans="1:33">
      <c r="A7" s="14" t="s">
        <v>10</v>
      </c>
      <c r="B7" s="15" t="s">
        <v>11</v>
      </c>
      <c r="C7" s="628">
        <v>860937</v>
      </c>
      <c r="D7" s="620">
        <f t="shared" si="0"/>
        <v>311.65591537977025</v>
      </c>
      <c r="E7" s="622">
        <f t="shared" si="9"/>
        <v>0.19273326741268779</v>
      </c>
      <c r="F7" s="337">
        <v>1326360</v>
      </c>
      <c r="G7" s="306">
        <f>(F$3/X7)*$Y7</f>
        <v>1658.6060974638547</v>
      </c>
      <c r="H7" s="308">
        <f t="shared" si="11"/>
        <v>0.28948239711050139</v>
      </c>
      <c r="I7" s="339">
        <v>1132483</v>
      </c>
      <c r="J7" s="195">
        <f t="shared" si="1"/>
        <v>1520.3206562266964</v>
      </c>
      <c r="K7" s="198">
        <f>$I7/$I$3</f>
        <v>0.26965004494234879</v>
      </c>
      <c r="L7" s="341">
        <v>762625</v>
      </c>
      <c r="M7" s="203">
        <f t="shared" si="2"/>
        <v>1358.9829354995186</v>
      </c>
      <c r="N7" s="206">
        <f t="shared" si="13"/>
        <v>0.20314261390636887</v>
      </c>
      <c r="O7" s="344">
        <v>698044</v>
      </c>
      <c r="P7" s="212">
        <f t="shared" si="3"/>
        <v>1022.5071132251688</v>
      </c>
      <c r="Q7" s="215">
        <f t="shared" si="4"/>
        <v>0.24712715094162607</v>
      </c>
      <c r="R7" s="346">
        <v>258642</v>
      </c>
      <c r="S7" s="220">
        <f t="shared" si="5"/>
        <v>704.22847751641655</v>
      </c>
      <c r="T7" s="223">
        <f t="shared" si="6"/>
        <v>0.13295034499278555</v>
      </c>
      <c r="U7" s="348">
        <v>235282</v>
      </c>
      <c r="V7" s="228">
        <f t="shared" si="7"/>
        <v>85.171187999102244</v>
      </c>
      <c r="W7" s="231">
        <f t="shared" si="10"/>
        <v>0.13147705345931807</v>
      </c>
      <c r="X7" s="351">
        <v>276246</v>
      </c>
      <c r="Y7" s="237">
        <v>100</v>
      </c>
      <c r="Z7" s="238">
        <f t="shared" si="8"/>
        <v>0.15932437412730793</v>
      </c>
      <c r="AA7" s="41"/>
      <c r="AC7" s="4"/>
      <c r="AE7" s="4"/>
      <c r="AG7" s="4"/>
    </row>
    <row r="8" spans="1:33">
      <c r="A8" s="14" t="s">
        <v>12</v>
      </c>
      <c r="B8" s="15" t="s">
        <v>13</v>
      </c>
      <c r="C8" s="628">
        <v>1096246</v>
      </c>
      <c r="D8" s="620">
        <f t="shared" si="0"/>
        <v>216.41887396626913</v>
      </c>
      <c r="E8" s="622">
        <f t="shared" si="9"/>
        <v>0.24541060898543021</v>
      </c>
      <c r="F8" s="337">
        <v>1256483</v>
      </c>
      <c r="G8" s="306">
        <f>(F$3/X8)*$Y8</f>
        <v>904.53706427343207</v>
      </c>
      <c r="H8" s="308">
        <f t="shared" si="11"/>
        <v>0.27423151389411182</v>
      </c>
      <c r="I8" s="339">
        <v>1390723</v>
      </c>
      <c r="J8" s="195">
        <f t="shared" si="1"/>
        <v>829.12174580831891</v>
      </c>
      <c r="K8" s="198">
        <f t="shared" si="12"/>
        <v>0.33113832123957548</v>
      </c>
      <c r="L8" s="341">
        <v>1690347</v>
      </c>
      <c r="M8" s="203">
        <f t="shared" si="2"/>
        <v>741.13464116287196</v>
      </c>
      <c r="N8" s="206">
        <f t="shared" si="13"/>
        <v>0.45026259038031652</v>
      </c>
      <c r="O8" s="344">
        <v>645750</v>
      </c>
      <c r="P8" s="212">
        <f t="shared" si="3"/>
        <v>557.63425915872222</v>
      </c>
      <c r="Q8" s="215">
        <f t="shared" si="4"/>
        <v>0.228613608483928</v>
      </c>
      <c r="R8" s="346">
        <v>494422</v>
      </c>
      <c r="S8" s="220">
        <f t="shared" si="5"/>
        <v>384.05789090277352</v>
      </c>
      <c r="T8" s="223">
        <f t="shared" si="6"/>
        <v>0.25414888329050589</v>
      </c>
      <c r="U8" s="348">
        <v>534726</v>
      </c>
      <c r="V8" s="228">
        <f t="shared" si="7"/>
        <v>105.56462582348051</v>
      </c>
      <c r="W8" s="231">
        <f t="shared" si="10"/>
        <v>0.29880823389841682</v>
      </c>
      <c r="X8" s="351">
        <v>506539</v>
      </c>
      <c r="Y8" s="237">
        <v>100</v>
      </c>
      <c r="Z8" s="238">
        <f t="shared" si="8"/>
        <v>0.29214543973875617</v>
      </c>
      <c r="AA8" s="41"/>
      <c r="AC8" s="4"/>
      <c r="AE8" s="4"/>
      <c r="AG8" s="4"/>
    </row>
    <row r="9" spans="1:33">
      <c r="A9" s="14" t="s">
        <v>14</v>
      </c>
      <c r="B9" s="15" t="s">
        <v>15</v>
      </c>
      <c r="C9" s="628">
        <v>301400</v>
      </c>
      <c r="D9" s="620">
        <f t="shared" si="0"/>
        <v>212.01761420391395</v>
      </c>
      <c r="E9" s="622">
        <f t="shared" si="9"/>
        <v>6.7472773034709971E-2</v>
      </c>
      <c r="F9" s="337">
        <v>304370</v>
      </c>
      <c r="G9" s="306">
        <f>(F$3/X9)*$Y9</f>
        <v>3223.0567396840138</v>
      </c>
      <c r="H9" s="308">
        <f t="shared" si="11"/>
        <v>6.6429745475227925E-2</v>
      </c>
      <c r="I9" s="339">
        <v>361523</v>
      </c>
      <c r="J9" s="195">
        <f t="shared" si="1"/>
        <v>2954.3360204842502</v>
      </c>
      <c r="K9" s="198">
        <f t="shared" si="12"/>
        <v>8.6080491449048474E-2</v>
      </c>
      <c r="L9" s="341">
        <v>176025</v>
      </c>
      <c r="M9" s="203">
        <f t="shared" si="2"/>
        <v>2640.8193699967642</v>
      </c>
      <c r="N9" s="206">
        <f t="shared" si="13"/>
        <v>4.6888285347147785E-2</v>
      </c>
      <c r="O9" s="344">
        <v>221036</v>
      </c>
      <c r="P9" s="212">
        <f t="shared" si="3"/>
        <v>1986.9687249398555</v>
      </c>
      <c r="Q9" s="215">
        <f t="shared" si="4"/>
        <v>7.8252942415568738E-2</v>
      </c>
      <c r="R9" s="346">
        <v>124615</v>
      </c>
      <c r="S9" s="220">
        <f t="shared" si="5"/>
        <v>1368.4794383713897</v>
      </c>
      <c r="T9" s="223">
        <f t="shared" si="6"/>
        <v>6.4056136440624384E-2</v>
      </c>
      <c r="U9" s="348">
        <v>129445</v>
      </c>
      <c r="V9" s="228">
        <f t="shared" si="7"/>
        <v>91.057133611896617</v>
      </c>
      <c r="W9" s="231">
        <f t="shared" si="10"/>
        <v>7.2334675772228338E-2</v>
      </c>
      <c r="X9" s="351">
        <v>142158</v>
      </c>
      <c r="Y9" s="237">
        <v>100</v>
      </c>
      <c r="Z9" s="238">
        <f t="shared" si="8"/>
        <v>8.1989365917297774E-2</v>
      </c>
      <c r="AA9" s="41"/>
      <c r="AC9" s="4"/>
      <c r="AE9" s="4"/>
      <c r="AG9" s="4"/>
    </row>
    <row r="10" spans="1:33">
      <c r="A10" s="14" t="s">
        <v>16</v>
      </c>
      <c r="B10" s="15" t="s">
        <v>17</v>
      </c>
      <c r="C10" s="628">
        <v>301400</v>
      </c>
      <c r="D10" s="620"/>
      <c r="E10" s="622">
        <f t="shared" si="9"/>
        <v>6.7472773034709971E-2</v>
      </c>
      <c r="F10" s="337">
        <v>304370</v>
      </c>
      <c r="G10" s="306"/>
      <c r="H10" s="308">
        <f t="shared" si="11"/>
        <v>6.6429745475227925E-2</v>
      </c>
      <c r="I10" s="339">
        <v>361523</v>
      </c>
      <c r="J10" s="195"/>
      <c r="K10" s="198">
        <f t="shared" si="12"/>
        <v>8.6080491449048474E-2</v>
      </c>
      <c r="L10" s="341">
        <v>176025</v>
      </c>
      <c r="M10" s="203"/>
      <c r="N10" s="206">
        <f t="shared" si="13"/>
        <v>4.6888285347147785E-2</v>
      </c>
      <c r="O10" s="344">
        <v>221036</v>
      </c>
      <c r="P10" s="212"/>
      <c r="Q10" s="215">
        <f t="shared" si="4"/>
        <v>7.8252942415568738E-2</v>
      </c>
      <c r="R10" s="346">
        <v>124615</v>
      </c>
      <c r="S10" s="220"/>
      <c r="T10" s="223">
        <f t="shared" si="6"/>
        <v>6.4056136440624384E-2</v>
      </c>
      <c r="U10" s="348">
        <v>129445</v>
      </c>
      <c r="V10" s="228"/>
      <c r="W10" s="231">
        <f t="shared" si="10"/>
        <v>7.2334675772228338E-2</v>
      </c>
      <c r="X10" s="351">
        <v>0</v>
      </c>
      <c r="Y10" s="237">
        <v>100</v>
      </c>
      <c r="Z10" s="238">
        <f t="shared" si="8"/>
        <v>0</v>
      </c>
      <c r="AA10" s="38"/>
      <c r="AC10" s="4"/>
      <c r="AE10" s="4"/>
      <c r="AG10" s="4"/>
    </row>
    <row r="11" spans="1:33">
      <c r="A11" s="14" t="s">
        <v>18</v>
      </c>
      <c r="B11" s="15" t="s">
        <v>15</v>
      </c>
      <c r="C11" s="628">
        <v>200109</v>
      </c>
      <c r="D11" s="620"/>
      <c r="E11" s="622">
        <f t="shared" si="9"/>
        <v>4.4797309685477037E-2</v>
      </c>
      <c r="F11" s="337">
        <v>210811</v>
      </c>
      <c r="G11" s="306"/>
      <c r="H11" s="308">
        <f t="shared" si="11"/>
        <v>4.6010188498795131E-2</v>
      </c>
      <c r="I11" s="339">
        <v>309169</v>
      </c>
      <c r="J11" s="195"/>
      <c r="K11" s="198">
        <f t="shared" si="12"/>
        <v>7.3614733947247796E-2</v>
      </c>
      <c r="L11" s="341">
        <v>157222</v>
      </c>
      <c r="M11" s="203"/>
      <c r="N11" s="206">
        <f t="shared" si="13"/>
        <v>4.1879676175823145E-2</v>
      </c>
      <c r="O11" s="344">
        <v>183356</v>
      </c>
      <c r="P11" s="212"/>
      <c r="Q11" s="215">
        <f t="shared" si="4"/>
        <v>6.4913165771860792E-2</v>
      </c>
      <c r="R11" s="346">
        <v>87826</v>
      </c>
      <c r="S11" s="220"/>
      <c r="T11" s="223">
        <f t="shared" si="6"/>
        <v>4.514540174966318E-2</v>
      </c>
      <c r="U11" s="348">
        <v>101769</v>
      </c>
      <c r="V11" s="228"/>
      <c r="W11" s="231">
        <f t="shared" si="10"/>
        <v>5.6869153838803393E-2</v>
      </c>
      <c r="X11" s="351">
        <v>0</v>
      </c>
      <c r="Y11" s="237">
        <v>100</v>
      </c>
      <c r="Z11" s="238">
        <f t="shared" si="8"/>
        <v>0</v>
      </c>
      <c r="AA11" s="38"/>
      <c r="AC11" s="4"/>
      <c r="AE11" s="4"/>
      <c r="AG11" s="4"/>
    </row>
    <row r="12" spans="1:33">
      <c r="A12" s="14" t="s">
        <v>19</v>
      </c>
      <c r="B12" s="15" t="s">
        <v>20</v>
      </c>
      <c r="C12" s="628">
        <v>101291</v>
      </c>
      <c r="D12" s="620"/>
      <c r="E12" s="622">
        <f t="shared" si="9"/>
        <v>2.2675463349232941E-2</v>
      </c>
      <c r="F12" s="337">
        <v>0</v>
      </c>
      <c r="G12" s="306"/>
      <c r="H12" s="308">
        <f t="shared" si="11"/>
        <v>0</v>
      </c>
      <c r="I12" s="339">
        <v>0</v>
      </c>
      <c r="J12" s="195"/>
      <c r="K12" s="198">
        <f t="shared" si="12"/>
        <v>0</v>
      </c>
      <c r="L12" s="341">
        <v>0</v>
      </c>
      <c r="M12" s="203"/>
      <c r="N12" s="206">
        <f t="shared" si="13"/>
        <v>0</v>
      </c>
      <c r="O12" s="344">
        <v>0</v>
      </c>
      <c r="P12" s="212"/>
      <c r="Q12" s="215">
        <f t="shared" si="4"/>
        <v>0</v>
      </c>
      <c r="R12" s="346">
        <v>0</v>
      </c>
      <c r="S12" s="220"/>
      <c r="T12" s="223">
        <f t="shared" si="6"/>
        <v>0</v>
      </c>
      <c r="U12" s="348">
        <v>0</v>
      </c>
      <c r="V12" s="228"/>
      <c r="W12" s="231">
        <f t="shared" si="10"/>
        <v>0</v>
      </c>
      <c r="X12" s="351">
        <v>0</v>
      </c>
      <c r="Y12" s="237">
        <v>100</v>
      </c>
      <c r="Z12" s="238">
        <f t="shared" si="8"/>
        <v>0</v>
      </c>
      <c r="AA12" s="38"/>
      <c r="AC12" s="4"/>
      <c r="AE12" s="4"/>
      <c r="AG12" s="4"/>
    </row>
    <row r="13" spans="1:33">
      <c r="A13" s="14" t="s">
        <v>21</v>
      </c>
      <c r="B13" s="15" t="s">
        <v>22</v>
      </c>
      <c r="C13" s="628">
        <v>142235</v>
      </c>
      <c r="D13" s="620">
        <f t="shared" si="0"/>
        <v>144.30871625254912</v>
      </c>
      <c r="E13" s="622">
        <f t="shared" si="9"/>
        <v>3.1841373167193009E-2</v>
      </c>
      <c r="F13" s="337">
        <v>96585</v>
      </c>
      <c r="G13" s="306">
        <f>(F$3/X13)*$Y13</f>
        <v>4648.6338686931194</v>
      </c>
      <c r="H13" s="308">
        <f t="shared" si="11"/>
        <v>2.1079991348440678E-2</v>
      </c>
      <c r="I13" s="339">
        <v>118748</v>
      </c>
      <c r="J13" s="195">
        <f t="shared" si="1"/>
        <v>4261.0563801832332</v>
      </c>
      <c r="K13" s="198">
        <f t="shared" si="12"/>
        <v>2.8274511437976581E-2</v>
      </c>
      <c r="L13" s="341">
        <v>132036</v>
      </c>
      <c r="M13" s="203">
        <f t="shared" si="2"/>
        <v>3808.8694540547672</v>
      </c>
      <c r="N13" s="206">
        <f t="shared" si="13"/>
        <v>3.5170808942457069E-2</v>
      </c>
      <c r="O13" s="344">
        <v>102245</v>
      </c>
      <c r="P13" s="212">
        <f t="shared" si="3"/>
        <v>2865.8167872325316</v>
      </c>
      <c r="Q13" s="215">
        <f t="shared" si="4"/>
        <v>3.6197597211675134E-2</v>
      </c>
      <c r="R13" s="346">
        <v>133370</v>
      </c>
      <c r="S13" s="220">
        <f t="shared" si="5"/>
        <v>1973.7660176739751</v>
      </c>
      <c r="T13" s="223">
        <f t="shared" si="6"/>
        <v>6.8556489323805911E-2</v>
      </c>
      <c r="U13" s="348">
        <v>125939</v>
      </c>
      <c r="V13" s="228">
        <f t="shared" si="7"/>
        <v>127.77512859795257</v>
      </c>
      <c r="W13" s="231">
        <f t="shared" si="10"/>
        <v>7.0375501039659033E-2</v>
      </c>
      <c r="X13" s="351">
        <v>98563</v>
      </c>
      <c r="Y13" s="237">
        <v>100</v>
      </c>
      <c r="Z13" s="238">
        <f t="shared" si="8"/>
        <v>5.6846029579106491E-2</v>
      </c>
      <c r="AA13" s="41"/>
      <c r="AC13" s="4"/>
      <c r="AE13" s="4"/>
      <c r="AG13" s="4"/>
    </row>
    <row r="14" spans="1:33">
      <c r="A14" s="14" t="s">
        <v>23</v>
      </c>
      <c r="B14" s="15" t="s">
        <v>24</v>
      </c>
      <c r="C14" s="628">
        <v>142235</v>
      </c>
      <c r="D14" s="620">
        <f t="shared" si="0"/>
        <v>144.30871625254912</v>
      </c>
      <c r="E14" s="622">
        <f t="shared" si="9"/>
        <v>3.1841373167193009E-2</v>
      </c>
      <c r="F14" s="337">
        <v>96585</v>
      </c>
      <c r="G14" s="306">
        <f>(F$3/X14)*$Y14</f>
        <v>4648.6338686931194</v>
      </c>
      <c r="H14" s="308">
        <f t="shared" si="11"/>
        <v>2.1079991348440678E-2</v>
      </c>
      <c r="I14" s="339">
        <v>118748</v>
      </c>
      <c r="J14" s="195">
        <f t="shared" si="1"/>
        <v>4261.0563801832332</v>
      </c>
      <c r="K14" s="198">
        <f t="shared" si="12"/>
        <v>2.8274511437976581E-2</v>
      </c>
      <c r="L14" s="341">
        <v>132036</v>
      </c>
      <c r="M14" s="203">
        <f t="shared" si="2"/>
        <v>3808.8694540547672</v>
      </c>
      <c r="N14" s="206">
        <f t="shared" si="13"/>
        <v>3.5170808942457069E-2</v>
      </c>
      <c r="O14" s="344">
        <v>102245</v>
      </c>
      <c r="P14" s="212">
        <f t="shared" si="3"/>
        <v>2865.8167872325316</v>
      </c>
      <c r="Q14" s="215">
        <f t="shared" si="4"/>
        <v>3.6197597211675134E-2</v>
      </c>
      <c r="R14" s="346">
        <v>133370</v>
      </c>
      <c r="S14" s="220">
        <f t="shared" si="5"/>
        <v>1973.7660176739751</v>
      </c>
      <c r="T14" s="223">
        <f t="shared" si="6"/>
        <v>6.8556489323805911E-2</v>
      </c>
      <c r="U14" s="348">
        <v>125939</v>
      </c>
      <c r="V14" s="228">
        <f t="shared" si="7"/>
        <v>127.77512859795257</v>
      </c>
      <c r="W14" s="231">
        <f t="shared" si="10"/>
        <v>7.0375501039659033E-2</v>
      </c>
      <c r="X14" s="351">
        <v>98563</v>
      </c>
      <c r="Y14" s="237">
        <v>100</v>
      </c>
      <c r="Z14" s="238">
        <f t="shared" si="8"/>
        <v>5.6846029579106491E-2</v>
      </c>
      <c r="AA14" s="41"/>
      <c r="AC14" s="4"/>
      <c r="AE14" s="4"/>
      <c r="AG14" s="4"/>
    </row>
    <row r="15" spans="1:33">
      <c r="A15" s="14" t="s">
        <v>25</v>
      </c>
      <c r="B15" s="15" t="s">
        <v>26</v>
      </c>
      <c r="C15" s="628">
        <v>21658</v>
      </c>
      <c r="D15" s="620">
        <f t="shared" si="0"/>
        <v>174.90107405313736</v>
      </c>
      <c r="E15" s="622">
        <f t="shared" si="9"/>
        <v>4.8484582560907388E-3</v>
      </c>
      <c r="F15" s="337">
        <v>12382</v>
      </c>
      <c r="G15" s="306">
        <f>(F$3/X15)*$Y15</f>
        <v>37000.993297262372</v>
      </c>
      <c r="H15" s="308">
        <f t="shared" si="11"/>
        <v>2.702411894977403E-3</v>
      </c>
      <c r="I15" s="339">
        <v>13997</v>
      </c>
      <c r="J15" s="195">
        <f t="shared" si="1"/>
        <v>33916.054267947991</v>
      </c>
      <c r="K15" s="198">
        <f t="shared" si="12"/>
        <v>3.3327579125320699E-3</v>
      </c>
      <c r="L15" s="341">
        <v>14502</v>
      </c>
      <c r="M15" s="203">
        <f t="shared" si="2"/>
        <v>30316.853751110393</v>
      </c>
      <c r="N15" s="206">
        <f t="shared" si="13"/>
        <v>3.8629394353321242E-3</v>
      </c>
      <c r="O15" s="344">
        <v>20410</v>
      </c>
      <c r="P15" s="212">
        <f t="shared" si="3"/>
        <v>22810.587095211176</v>
      </c>
      <c r="Q15" s="215">
        <f t="shared" si="4"/>
        <v>7.2257123486751387E-3</v>
      </c>
      <c r="R15" s="346">
        <v>20378</v>
      </c>
      <c r="S15" s="220">
        <f t="shared" si="5"/>
        <v>15710.272147298716</v>
      </c>
      <c r="T15" s="223">
        <f t="shared" si="6"/>
        <v>1.0474950434434407E-2</v>
      </c>
      <c r="U15" s="348">
        <v>21103</v>
      </c>
      <c r="V15" s="228">
        <f t="shared" si="7"/>
        <v>170.41912299119761</v>
      </c>
      <c r="W15" s="231">
        <f t="shared" si="10"/>
        <v>1.1792488414549303E-2</v>
      </c>
      <c r="X15" s="351">
        <v>12383</v>
      </c>
      <c r="Y15" s="237">
        <v>100</v>
      </c>
      <c r="Z15" s="238">
        <f t="shared" si="8"/>
        <v>7.1418725513435633E-3</v>
      </c>
      <c r="AA15" s="41"/>
      <c r="AC15" s="4"/>
      <c r="AE15" s="4"/>
      <c r="AG15" s="4"/>
    </row>
    <row r="16" spans="1:33">
      <c r="A16" s="14" t="s">
        <v>27</v>
      </c>
      <c r="B16" s="15" t="s">
        <v>28</v>
      </c>
      <c r="C16" s="628">
        <v>20037</v>
      </c>
      <c r="D16" s="620">
        <f t="shared" si="0"/>
        <v>84.359211855843725</v>
      </c>
      <c r="E16" s="622">
        <f t="shared" si="9"/>
        <v>4.4855738331004771E-3</v>
      </c>
      <c r="F16" s="337">
        <v>30680</v>
      </c>
      <c r="G16" s="306">
        <f>(F$3/X16)*$Y16</f>
        <v>19290.303974402155</v>
      </c>
      <c r="H16" s="308">
        <f t="shared" si="11"/>
        <v>6.696010090284827E-3</v>
      </c>
      <c r="I16" s="339">
        <v>43088</v>
      </c>
      <c r="J16" s="195">
        <f t="shared" si="1"/>
        <v>17681.984674974741</v>
      </c>
      <c r="K16" s="198">
        <f t="shared" si="12"/>
        <v>1.0259475097176668E-2</v>
      </c>
      <c r="L16" s="341">
        <v>56823</v>
      </c>
      <c r="M16" s="203">
        <f t="shared" si="2"/>
        <v>15805.557426743011</v>
      </c>
      <c r="N16" s="206">
        <f t="shared" si="13"/>
        <v>1.513610588428336E-2</v>
      </c>
      <c r="O16" s="344">
        <v>28608</v>
      </c>
      <c r="P16" s="212">
        <f t="shared" si="3"/>
        <v>11892.198551700909</v>
      </c>
      <c r="Q16" s="215">
        <f t="shared" si="4"/>
        <v>1.0128034241592277E-2</v>
      </c>
      <c r="R16" s="346">
        <v>52457</v>
      </c>
      <c r="S16" s="220">
        <f t="shared" si="5"/>
        <v>8190.4808016167053</v>
      </c>
      <c r="T16" s="223">
        <f t="shared" si="6"/>
        <v>2.6964592940383048E-2</v>
      </c>
      <c r="U16" s="348">
        <v>36349</v>
      </c>
      <c r="V16" s="228">
        <f t="shared" si="7"/>
        <v>153.03553384978107</v>
      </c>
      <c r="W16" s="231">
        <f t="shared" si="10"/>
        <v>2.0312048589321549E-2</v>
      </c>
      <c r="X16" s="351">
        <v>23752</v>
      </c>
      <c r="Y16" s="237">
        <v>100</v>
      </c>
      <c r="Z16" s="238">
        <f t="shared" si="8"/>
        <v>1.3698922461399686E-2</v>
      </c>
      <c r="AA16" s="41"/>
      <c r="AC16" s="4"/>
      <c r="AE16" s="4"/>
      <c r="AG16" s="4"/>
    </row>
    <row r="17" spans="1:33">
      <c r="A17" s="17" t="s">
        <v>29</v>
      </c>
      <c r="B17" s="18" t="s">
        <v>30</v>
      </c>
      <c r="C17" s="630">
        <v>1499240</v>
      </c>
      <c r="D17" s="620">
        <f t="shared" si="0"/>
        <v>464.84170317523808</v>
      </c>
      <c r="E17" s="622">
        <f t="shared" si="9"/>
        <v>0.33562667632567544</v>
      </c>
      <c r="F17" s="385">
        <v>1006660</v>
      </c>
      <c r="G17" s="306">
        <f>(F$3/X17)*$Y17</f>
        <v>1420.604476524446</v>
      </c>
      <c r="H17" s="308">
        <f t="shared" si="11"/>
        <v>0.21970682912275502</v>
      </c>
      <c r="I17" s="379">
        <v>769763</v>
      </c>
      <c r="J17" s="195">
        <f t="shared" si="1"/>
        <v>1302.1622995904218</v>
      </c>
      <c r="K17" s="197">
        <f>$I17/$I$3</f>
        <v>0.1832845416178055</v>
      </c>
      <c r="L17" s="372">
        <v>634096</v>
      </c>
      <c r="M17" s="203">
        <f t="shared" si="2"/>
        <v>1163.97572916376</v>
      </c>
      <c r="N17" s="207">
        <f t="shared" si="13"/>
        <v>0.16890597463704032</v>
      </c>
      <c r="O17" s="366">
        <v>613398</v>
      </c>
      <c r="P17" s="212">
        <f t="shared" si="3"/>
        <v>875.78249262852421</v>
      </c>
      <c r="Q17" s="216">
        <f t="shared" si="4"/>
        <v>0.2171600932509864</v>
      </c>
      <c r="R17" s="360">
        <v>473640</v>
      </c>
      <c r="S17" s="220">
        <f t="shared" si="5"/>
        <v>603.17523804208633</v>
      </c>
      <c r="T17" s="224">
        <f t="shared" si="6"/>
        <v>0.2434662638024101</v>
      </c>
      <c r="U17" s="355">
        <v>370789</v>
      </c>
      <c r="V17" s="228">
        <f t="shared" si="7"/>
        <v>114.96370846471768</v>
      </c>
      <c r="W17" s="232">
        <f t="shared" si="10"/>
        <v>0.20719921275374695</v>
      </c>
      <c r="X17" s="351">
        <v>322527</v>
      </c>
      <c r="Y17" s="237">
        <v>100</v>
      </c>
      <c r="Z17" s="238">
        <f t="shared" si="8"/>
        <v>0.18601685604192728</v>
      </c>
      <c r="AA17" s="41"/>
      <c r="AC17" s="4"/>
      <c r="AE17" s="4"/>
      <c r="AG17" s="4"/>
    </row>
    <row r="18" spans="1:33">
      <c r="A18" s="14" t="s">
        <v>31</v>
      </c>
      <c r="B18" s="15" t="s">
        <v>32</v>
      </c>
      <c r="C18" s="628">
        <v>765802</v>
      </c>
      <c r="D18" s="620">
        <f t="shared" si="0"/>
        <v>511.69108852673713</v>
      </c>
      <c r="E18" s="622">
        <f t="shared" si="9"/>
        <v>0.17143591418555729</v>
      </c>
      <c r="F18" s="337">
        <v>502346</v>
      </c>
      <c r="G18" s="306">
        <f>(F$3/X18)*$Y18</f>
        <v>3061.4742651726237</v>
      </c>
      <c r="H18" s="308">
        <f t="shared" si="11"/>
        <v>0.10963865335118063</v>
      </c>
      <c r="I18" s="339">
        <v>383872</v>
      </c>
      <c r="J18" s="195">
        <f t="shared" si="1"/>
        <v>2806.2254027435338</v>
      </c>
      <c r="K18" s="198">
        <f>$I18/$I$3</f>
        <v>9.1401903650747351E-2</v>
      </c>
      <c r="L18" s="341">
        <v>339982</v>
      </c>
      <c r="M18" s="203">
        <f t="shared" si="2"/>
        <v>2508.4263769452295</v>
      </c>
      <c r="N18" s="206">
        <f t="shared" si="13"/>
        <v>9.0561982837062904E-2</v>
      </c>
      <c r="O18" s="344">
        <v>337585</v>
      </c>
      <c r="P18" s="212">
        <f t="shared" si="3"/>
        <v>1887.35542325656</v>
      </c>
      <c r="Q18" s="215">
        <f t="shared" si="4"/>
        <v>0.11951455674804001</v>
      </c>
      <c r="R18" s="346">
        <v>206351</v>
      </c>
      <c r="S18" s="220">
        <f t="shared" si="5"/>
        <v>1299.8730464182386</v>
      </c>
      <c r="T18" s="223">
        <f t="shared" si="6"/>
        <v>0.10607108141603565</v>
      </c>
      <c r="U18" s="348">
        <v>192540</v>
      </c>
      <c r="V18" s="228">
        <f t="shared" si="7"/>
        <v>128.65075069657425</v>
      </c>
      <c r="W18" s="231">
        <f t="shared" si="10"/>
        <v>0.10759255647715125</v>
      </c>
      <c r="X18" s="351">
        <v>149661</v>
      </c>
      <c r="Y18" s="237">
        <v>100</v>
      </c>
      <c r="Z18" s="238">
        <f t="shared" si="8"/>
        <v>8.6316707413924665E-2</v>
      </c>
      <c r="AA18" s="41"/>
      <c r="AC18" s="4"/>
      <c r="AE18" s="4"/>
      <c r="AG18" s="4"/>
    </row>
    <row r="19" spans="1:33">
      <c r="A19" s="14" t="s">
        <v>33</v>
      </c>
      <c r="B19" s="15" t="s">
        <v>34</v>
      </c>
      <c r="C19" s="629">
        <v>0</v>
      </c>
      <c r="D19" s="620"/>
      <c r="E19" s="622">
        <f t="shared" si="9"/>
        <v>0</v>
      </c>
      <c r="F19" s="337">
        <v>0</v>
      </c>
      <c r="G19" s="306"/>
      <c r="H19" s="308">
        <f t="shared" si="11"/>
        <v>0</v>
      </c>
      <c r="I19" s="339">
        <v>0</v>
      </c>
      <c r="J19" s="195"/>
      <c r="K19" s="198">
        <f>$I19/$I$3</f>
        <v>0</v>
      </c>
      <c r="L19" s="341">
        <v>0</v>
      </c>
      <c r="M19" s="203"/>
      <c r="N19" s="206">
        <f t="shared" si="13"/>
        <v>0</v>
      </c>
      <c r="O19" s="344">
        <v>0</v>
      </c>
      <c r="P19" s="212"/>
      <c r="Q19" s="215">
        <f t="shared" si="4"/>
        <v>0</v>
      </c>
      <c r="R19" s="346">
        <v>0</v>
      </c>
      <c r="S19" s="220"/>
      <c r="T19" s="223">
        <f t="shared" si="6"/>
        <v>0</v>
      </c>
      <c r="U19" s="348">
        <v>0</v>
      </c>
      <c r="V19" s="228"/>
      <c r="W19" s="231">
        <f t="shared" si="10"/>
        <v>0</v>
      </c>
      <c r="X19" s="351">
        <v>0</v>
      </c>
      <c r="Y19" s="237">
        <v>100</v>
      </c>
      <c r="Z19" s="238">
        <f t="shared" si="8"/>
        <v>0</v>
      </c>
      <c r="AA19" s="41"/>
      <c r="AC19" s="4"/>
      <c r="AE19" s="4"/>
      <c r="AG19" s="4"/>
    </row>
    <row r="20" spans="1:33">
      <c r="A20" s="14" t="s">
        <v>35</v>
      </c>
      <c r="B20" s="15" t="s">
        <v>11</v>
      </c>
      <c r="C20" s="628">
        <v>185092</v>
      </c>
      <c r="D20" s="620">
        <f t="shared" si="0"/>
        <v>70645.801526717565</v>
      </c>
      <c r="E20" s="622">
        <f t="shared" si="9"/>
        <v>4.1435535854480884E-2</v>
      </c>
      <c r="F20" s="337">
        <v>31972</v>
      </c>
      <c r="G20" s="306">
        <f>(F$3/X20)*$Y20</f>
        <v>1748791.2213740458</v>
      </c>
      <c r="H20" s="308">
        <f t="shared" si="11"/>
        <v>6.977993305299429E-3</v>
      </c>
      <c r="I20" s="339">
        <v>13573</v>
      </c>
      <c r="J20" s="195">
        <f t="shared" si="1"/>
        <v>1602986.641221374</v>
      </c>
      <c r="K20" s="198">
        <f>$I20/$I$3</f>
        <v>3.2318013250552105E-3</v>
      </c>
      <c r="L20" s="341">
        <v>0</v>
      </c>
      <c r="M20" s="203">
        <f t="shared" si="2"/>
        <v>1432876.3358778625</v>
      </c>
      <c r="N20" s="206">
        <f t="shared" si="13"/>
        <v>0</v>
      </c>
      <c r="O20" s="344">
        <v>0</v>
      </c>
      <c r="P20" s="212">
        <f t="shared" si="3"/>
        <v>1078104.9618320609</v>
      </c>
      <c r="Q20" s="215">
        <f t="shared" si="4"/>
        <v>0</v>
      </c>
      <c r="R20" s="346">
        <v>70</v>
      </c>
      <c r="S20" s="220">
        <f t="shared" si="5"/>
        <v>742520.22900763364</v>
      </c>
      <c r="T20" s="223">
        <f t="shared" si="6"/>
        <v>3.5982261773010531E-5</v>
      </c>
      <c r="U20" s="348">
        <v>28</v>
      </c>
      <c r="V20" s="228">
        <f t="shared" si="7"/>
        <v>10.687022900763358</v>
      </c>
      <c r="W20" s="231">
        <f t="shared" si="10"/>
        <v>1.5646575160279605E-5</v>
      </c>
      <c r="X20" s="351">
        <v>262</v>
      </c>
      <c r="Y20" s="237">
        <v>100</v>
      </c>
      <c r="Z20" s="238">
        <f t="shared" si="8"/>
        <v>1.5110801974093627E-4</v>
      </c>
      <c r="AA20" s="41"/>
      <c r="AC20" s="4"/>
      <c r="AE20" s="4"/>
      <c r="AG20" s="4"/>
    </row>
    <row r="21" spans="1:33">
      <c r="A21" s="20" t="s">
        <v>36</v>
      </c>
      <c r="B21" s="15" t="s">
        <v>37</v>
      </c>
      <c r="C21" s="628">
        <v>1190</v>
      </c>
      <c r="D21" s="620">
        <f t="shared" si="0"/>
        <v>1.7832791356341131</v>
      </c>
      <c r="E21" s="622">
        <f t="shared" si="9"/>
        <v>2.6639880527971091E-4</v>
      </c>
      <c r="F21" s="337">
        <v>2743</v>
      </c>
      <c r="G21" s="306">
        <f>(F$3/X21)*$Y21</f>
        <v>6866.1236906385338</v>
      </c>
      <c r="H21" s="308">
        <f t="shared" si="11"/>
        <v>5.9866869875004178E-4</v>
      </c>
      <c r="I21" s="339">
        <v>1712</v>
      </c>
      <c r="J21" s="195">
        <f t="shared" si="1"/>
        <v>6293.6641141298642</v>
      </c>
      <c r="K21" s="198">
        <f t="shared" ref="K21:K25" si="14">$I21/$I$3</f>
        <v>4.0763603245373318E-4</v>
      </c>
      <c r="L21" s="341">
        <v>624</v>
      </c>
      <c r="M21" s="203">
        <f t="shared" si="2"/>
        <v>5625.7751270024428</v>
      </c>
      <c r="N21" s="206">
        <f t="shared" si="13"/>
        <v>1.662166740895908E-4</v>
      </c>
      <c r="O21" s="344">
        <v>599</v>
      </c>
      <c r="P21" s="212">
        <f t="shared" si="3"/>
        <v>4232.8677825898003</v>
      </c>
      <c r="Q21" s="215">
        <f t="shared" si="4"/>
        <v>2.120627974941895E-4</v>
      </c>
      <c r="R21" s="346">
        <v>60296</v>
      </c>
      <c r="S21" s="220">
        <f t="shared" si="5"/>
        <v>2915.2912439495885</v>
      </c>
      <c r="T21" s="223">
        <f t="shared" si="6"/>
        <v>3.0994092226649183E-2</v>
      </c>
      <c r="U21" s="348">
        <v>64744</v>
      </c>
      <c r="V21" s="228">
        <f t="shared" si="7"/>
        <v>97.022373409659679</v>
      </c>
      <c r="W21" s="231">
        <f t="shared" si="10"/>
        <v>3.6179352220612242E-2</v>
      </c>
      <c r="X21" s="351">
        <v>66731</v>
      </c>
      <c r="Y21" s="237">
        <v>100</v>
      </c>
      <c r="Z21" s="238">
        <f t="shared" si="8"/>
        <v>3.8486981928749685E-2</v>
      </c>
      <c r="AA21" s="41"/>
      <c r="AC21" s="4"/>
      <c r="AE21" s="4"/>
      <c r="AG21" s="4"/>
    </row>
    <row r="22" spans="1:33">
      <c r="A22" s="20" t="s">
        <v>38</v>
      </c>
      <c r="B22" s="15" t="s">
        <v>39</v>
      </c>
      <c r="C22" s="628">
        <v>579520</v>
      </c>
      <c r="D22" s="620">
        <f t="shared" si="0"/>
        <v>701.02095127497944</v>
      </c>
      <c r="E22" s="622">
        <f t="shared" si="9"/>
        <v>0.12973397952579668</v>
      </c>
      <c r="F22" s="337">
        <v>467631</v>
      </c>
      <c r="G22" s="306">
        <f>(F$3/X22)*$Y22</f>
        <v>5542.4505249915328</v>
      </c>
      <c r="H22" s="308">
        <f t="shared" si="11"/>
        <v>0.10206199134713116</v>
      </c>
      <c r="I22" s="339">
        <v>368587</v>
      </c>
      <c r="J22" s="195">
        <f t="shared" si="1"/>
        <v>5080.3515265882806</v>
      </c>
      <c r="K22" s="198">
        <f t="shared" si="14"/>
        <v>8.7762466293238403E-2</v>
      </c>
      <c r="L22" s="341">
        <v>339358</v>
      </c>
      <c r="M22" s="203">
        <f t="shared" si="2"/>
        <v>4541.2203028983404</v>
      </c>
      <c r="N22" s="206">
        <f t="shared" si="13"/>
        <v>9.0395766162973318E-2</v>
      </c>
      <c r="O22" s="344">
        <v>336986</v>
      </c>
      <c r="P22" s="212">
        <f t="shared" si="3"/>
        <v>3416.8420670634346</v>
      </c>
      <c r="Q22" s="215">
        <f t="shared" si="4"/>
        <v>0.11930249395054582</v>
      </c>
      <c r="R22" s="346">
        <v>145985</v>
      </c>
      <c r="S22" s="220">
        <f t="shared" si="5"/>
        <v>2353.2721246431511</v>
      </c>
      <c r="T22" s="223">
        <f t="shared" si="6"/>
        <v>7.5041006927613452E-2</v>
      </c>
      <c r="U22" s="348">
        <v>127768</v>
      </c>
      <c r="V22" s="228">
        <f t="shared" si="7"/>
        <v>154.55557168432767</v>
      </c>
      <c r="W22" s="231">
        <f t="shared" si="10"/>
        <v>7.1397557681378732E-2</v>
      </c>
      <c r="X22" s="351">
        <v>82668</v>
      </c>
      <c r="Y22" s="237">
        <v>100</v>
      </c>
      <c r="Z22" s="238">
        <f t="shared" si="8"/>
        <v>4.7678617465434038E-2</v>
      </c>
      <c r="AA22" s="41"/>
      <c r="AC22" s="4"/>
      <c r="AE22" s="4"/>
      <c r="AG22" s="4"/>
    </row>
    <row r="23" spans="1:33">
      <c r="A23" s="20" t="s">
        <v>40</v>
      </c>
      <c r="B23" s="15" t="s">
        <v>15</v>
      </c>
      <c r="C23" s="628">
        <v>501080</v>
      </c>
      <c r="D23" s="620">
        <f t="shared" si="0"/>
        <v>662.9269970629482</v>
      </c>
      <c r="E23" s="622">
        <f t="shared" si="9"/>
        <v>0.11217404483156096</v>
      </c>
      <c r="F23" s="337">
        <v>457924</v>
      </c>
      <c r="G23" s="306">
        <f>(F$3/X23)*$Y23</f>
        <v>6061.7482073399833</v>
      </c>
      <c r="H23" s="308">
        <f t="shared" si="11"/>
        <v>9.9943406929060924E-2</v>
      </c>
      <c r="I23" s="339">
        <v>298614</v>
      </c>
      <c r="J23" s="195">
        <f t="shared" si="1"/>
        <v>5556.3530283385808</v>
      </c>
      <c r="K23" s="198">
        <f t="shared" si="14"/>
        <v>7.1101533992487781E-2</v>
      </c>
      <c r="L23" s="341">
        <v>275722</v>
      </c>
      <c r="M23" s="203">
        <f t="shared" si="2"/>
        <v>4966.7081205514251</v>
      </c>
      <c r="N23" s="206">
        <f t="shared" si="13"/>
        <v>7.3444861880336776E-2</v>
      </c>
      <c r="O23" s="344">
        <v>275415</v>
      </c>
      <c r="P23" s="212">
        <f t="shared" si="3"/>
        <v>3736.9817161908286</v>
      </c>
      <c r="Q23" s="215">
        <f t="shared" si="4"/>
        <v>9.7504633342007027E-2</v>
      </c>
      <c r="R23" s="346">
        <v>86096</v>
      </c>
      <c r="S23" s="220">
        <f t="shared" si="5"/>
        <v>2573.7610139443814</v>
      </c>
      <c r="T23" s="223">
        <f t="shared" si="6"/>
        <v>4.4256125851558775E-2</v>
      </c>
      <c r="U23" s="348">
        <v>75507</v>
      </c>
      <c r="V23" s="228">
        <f t="shared" si="7"/>
        <v>99.895483290556456</v>
      </c>
      <c r="W23" s="231">
        <f t="shared" si="10"/>
        <v>4.2193783950972577E-2</v>
      </c>
      <c r="X23" s="351">
        <v>75586</v>
      </c>
      <c r="Y23" s="237">
        <v>100</v>
      </c>
      <c r="Z23" s="238">
        <f t="shared" si="8"/>
        <v>4.3594086947093158E-2</v>
      </c>
      <c r="AA23" s="41"/>
      <c r="AC23" s="4"/>
      <c r="AE23" s="4"/>
      <c r="AG23" s="4"/>
    </row>
    <row r="24" spans="1:33">
      <c r="A24" s="20" t="s">
        <v>41</v>
      </c>
      <c r="B24" s="15" t="s">
        <v>42</v>
      </c>
      <c r="C24" s="629">
        <v>2641</v>
      </c>
      <c r="D24" s="620">
        <f t="shared" si="0"/>
        <v>37.291725501270825</v>
      </c>
      <c r="E24" s="622">
        <f t="shared" si="9"/>
        <v>5.9122625608715672E-4</v>
      </c>
      <c r="F24" s="337">
        <v>9707</v>
      </c>
      <c r="G24" s="306">
        <f>(F$3/X24)*$Y24</f>
        <v>64696.879412595306</v>
      </c>
      <c r="H24" s="308">
        <f t="shared" si="11"/>
        <v>2.1185844180702353E-3</v>
      </c>
      <c r="I24" s="339">
        <v>69973</v>
      </c>
      <c r="J24" s="195">
        <f t="shared" si="1"/>
        <v>59302.809940694715</v>
      </c>
      <c r="K24" s="198">
        <f t="shared" si="14"/>
        <v>1.6660932300750626E-2</v>
      </c>
      <c r="L24" s="341">
        <v>63636</v>
      </c>
      <c r="M24" s="203">
        <f t="shared" si="2"/>
        <v>53009.545326179046</v>
      </c>
      <c r="N24" s="206">
        <f t="shared" si="13"/>
        <v>1.6950904282636538E-2</v>
      </c>
      <c r="O24" s="344">
        <v>61571</v>
      </c>
      <c r="P24" s="212">
        <f t="shared" si="3"/>
        <v>39884.707709686532</v>
      </c>
      <c r="Q24" s="215">
        <f t="shared" si="4"/>
        <v>2.1797860608538801E-2</v>
      </c>
      <c r="R24" s="346">
        <v>59889</v>
      </c>
      <c r="S24" s="220">
        <f t="shared" si="5"/>
        <v>27469.68370516803</v>
      </c>
      <c r="T24" s="223">
        <f t="shared" si="6"/>
        <v>3.078488107605468E-2</v>
      </c>
      <c r="U24" s="348">
        <v>52261</v>
      </c>
      <c r="V24" s="228">
        <f t="shared" si="7"/>
        <v>737.9412595312059</v>
      </c>
      <c r="W24" s="231">
        <f t="shared" si="10"/>
        <v>2.9203773730406158E-2</v>
      </c>
      <c r="X24" s="351">
        <v>7082</v>
      </c>
      <c r="Y24" s="237">
        <v>100</v>
      </c>
      <c r="Z24" s="238">
        <f t="shared" si="8"/>
        <v>4.08453051834088E-3</v>
      </c>
      <c r="AA24" s="41"/>
      <c r="AC24" s="4"/>
      <c r="AE24" s="4"/>
      <c r="AG24" s="4"/>
    </row>
    <row r="25" spans="1:33">
      <c r="A25" s="14" t="s">
        <v>43</v>
      </c>
      <c r="B25" s="21" t="s">
        <v>44</v>
      </c>
      <c r="C25" s="631">
        <v>35760</v>
      </c>
      <c r="D25" s="620"/>
      <c r="E25" s="622">
        <f t="shared" si="9"/>
        <v>8.0053960309264382E-3</v>
      </c>
      <c r="F25" s="337">
        <v>0</v>
      </c>
      <c r="G25" s="306"/>
      <c r="H25" s="308">
        <f t="shared" si="11"/>
        <v>0</v>
      </c>
      <c r="I25" s="339">
        <v>0</v>
      </c>
      <c r="J25" s="195"/>
      <c r="K25" s="199">
        <f t="shared" si="14"/>
        <v>0</v>
      </c>
      <c r="L25" s="342">
        <v>0</v>
      </c>
      <c r="M25" s="203"/>
      <c r="N25" s="206">
        <f t="shared" si="13"/>
        <v>0</v>
      </c>
      <c r="O25" s="344">
        <v>0</v>
      </c>
      <c r="P25" s="212"/>
      <c r="Q25" s="215">
        <f t="shared" si="4"/>
        <v>0</v>
      </c>
      <c r="R25" s="346">
        <v>0</v>
      </c>
      <c r="S25" s="220"/>
      <c r="T25" s="223">
        <f t="shared" si="6"/>
        <v>0</v>
      </c>
      <c r="U25" s="348">
        <v>0</v>
      </c>
      <c r="V25" s="228"/>
      <c r="W25" s="231">
        <f t="shared" si="10"/>
        <v>0</v>
      </c>
      <c r="X25" s="351">
        <v>0</v>
      </c>
      <c r="Y25" s="237">
        <v>100</v>
      </c>
      <c r="Z25" s="238">
        <f t="shared" si="8"/>
        <v>0</v>
      </c>
      <c r="AA25" s="41"/>
      <c r="AC25" s="4"/>
      <c r="AE25" s="4"/>
      <c r="AG25" s="4"/>
    </row>
    <row r="26" spans="1:33">
      <c r="A26" s="17"/>
      <c r="B26" s="23" t="s">
        <v>45</v>
      </c>
      <c r="C26" s="632">
        <f>SUM(C27,C30,C33)</f>
        <v>733438</v>
      </c>
      <c r="D26" s="620">
        <f t="shared" si="0"/>
        <v>424.28123517637937</v>
      </c>
      <c r="E26" s="622">
        <f t="shared" si="9"/>
        <v>0.16419076214011816</v>
      </c>
      <c r="F26" s="386">
        <f>SUM(F27,F30,F33)</f>
        <v>504314</v>
      </c>
      <c r="G26" s="306">
        <f>(F$3/X26)*$Y26</f>
        <v>2650.5113787557993</v>
      </c>
      <c r="H26" s="308">
        <f t="shared" si="11"/>
        <v>0.11006817577157439</v>
      </c>
      <c r="I26" s="380">
        <f t="shared" ref="I26" si="15">SUM(I27,I30,I33)</f>
        <v>385891</v>
      </c>
      <c r="J26" s="195">
        <f t="shared" si="1"/>
        <v>2429.5263383198544</v>
      </c>
      <c r="K26" s="200">
        <f>$I26/$I$3</f>
        <v>9.1882637967058145E-2</v>
      </c>
      <c r="L26" s="373">
        <f t="shared" ref="L26" si="16">SUM(L27,L30,L33)</f>
        <v>294114</v>
      </c>
      <c r="M26" s="203">
        <f t="shared" si="2"/>
        <v>2171.7029375354323</v>
      </c>
      <c r="N26" s="208">
        <f>$L26/$L$3</f>
        <v>7.8343991799977405E-2</v>
      </c>
      <c r="O26" s="367">
        <f t="shared" ref="O26" si="17">SUM(O27,O30,O33)</f>
        <v>275813</v>
      </c>
      <c r="P26" s="212">
        <f t="shared" si="3"/>
        <v>1634.0026378813648</v>
      </c>
      <c r="Q26" s="217">
        <f>$O26/$O$3</f>
        <v>9.7645536502946398E-2</v>
      </c>
      <c r="R26" s="361">
        <f t="shared" ref="R26" si="18">SUM(R27,R30,R33)</f>
        <v>267289</v>
      </c>
      <c r="S26" s="220">
        <f t="shared" si="5"/>
        <v>1125.3820878599608</v>
      </c>
      <c r="T26" s="225">
        <f>$R26/$R$3</f>
        <v>0.13739518238637444</v>
      </c>
      <c r="U26" s="355">
        <f>SUM(U27,U30,U33)</f>
        <v>178249</v>
      </c>
      <c r="V26" s="228">
        <f t="shared" si="7"/>
        <v>103.11397267247465</v>
      </c>
      <c r="W26" s="232">
        <f t="shared" si="10"/>
        <v>9.9606656276595679E-2</v>
      </c>
      <c r="X26" s="352">
        <f>SUM(X27,X30,X33)</f>
        <v>172866</v>
      </c>
      <c r="Y26" s="237">
        <v>100</v>
      </c>
      <c r="Z26" s="238">
        <f t="shared" si="8"/>
        <v>9.9700148628002624E-2</v>
      </c>
      <c r="AA26" s="41"/>
      <c r="AC26" s="4"/>
      <c r="AE26" s="4"/>
      <c r="AG26" s="4"/>
    </row>
    <row r="27" spans="1:33">
      <c r="A27" s="14" t="s">
        <v>46</v>
      </c>
      <c r="B27" s="25" t="s">
        <v>47</v>
      </c>
      <c r="C27" s="633">
        <v>256770</v>
      </c>
      <c r="D27" s="620">
        <f t="shared" si="0"/>
        <v>479.01276024177298</v>
      </c>
      <c r="E27" s="622">
        <f t="shared" si="9"/>
        <v>5.7481698514009555E-2</v>
      </c>
      <c r="F27" s="338">
        <v>226969</v>
      </c>
      <c r="G27" s="306">
        <f>(F$3/X27)*$Y27</f>
        <v>8547.5580180583529</v>
      </c>
      <c r="H27" s="308">
        <f t="shared" si="11"/>
        <v>4.9536724712576821E-2</v>
      </c>
      <c r="I27" s="340">
        <v>164127</v>
      </c>
      <c r="J27" s="195">
        <f t="shared" si="1"/>
        <v>7834.9097082307298</v>
      </c>
      <c r="K27" s="201">
        <f>$I27/$I$3</f>
        <v>3.9079485454751088E-2</v>
      </c>
      <c r="L27" s="343">
        <v>114226</v>
      </c>
      <c r="M27" s="203">
        <f t="shared" si="2"/>
        <v>7003.462428177002</v>
      </c>
      <c r="N27" s="206">
        <f t="shared" si="13"/>
        <v>3.0426708036149996E-2</v>
      </c>
      <c r="O27" s="344">
        <v>91692</v>
      </c>
      <c r="P27" s="212">
        <f t="shared" si="3"/>
        <v>5269.4481755092902</v>
      </c>
      <c r="Q27" s="215">
        <f t="shared" si="4"/>
        <v>3.2461539278526255E-2</v>
      </c>
      <c r="R27" s="346">
        <v>73433</v>
      </c>
      <c r="S27" s="220">
        <f t="shared" si="5"/>
        <v>3629.2123722110291</v>
      </c>
      <c r="T27" s="223">
        <f t="shared" si="6"/>
        <v>3.7746934696821173E-2</v>
      </c>
      <c r="U27" s="348">
        <v>48087</v>
      </c>
      <c r="V27" s="228">
        <f t="shared" si="7"/>
        <v>89.707857622565484</v>
      </c>
      <c r="W27" s="231">
        <f t="shared" si="10"/>
        <v>2.6871316419013049E-2</v>
      </c>
      <c r="X27" s="351">
        <v>53604</v>
      </c>
      <c r="Y27" s="237">
        <v>100</v>
      </c>
      <c r="Z27" s="238">
        <f t="shared" si="8"/>
        <v>3.0916008741195218E-2</v>
      </c>
      <c r="AA27" s="41"/>
      <c r="AC27" s="4"/>
      <c r="AE27" s="4"/>
      <c r="AG27" s="4"/>
    </row>
    <row r="28" spans="1:33">
      <c r="A28" s="14" t="s">
        <v>48</v>
      </c>
      <c r="B28" s="15" t="s">
        <v>49</v>
      </c>
      <c r="C28" s="633">
        <v>256770</v>
      </c>
      <c r="D28" s="620">
        <f t="shared" si="0"/>
        <v>479.01276024177298</v>
      </c>
      <c r="E28" s="622">
        <f t="shared" si="9"/>
        <v>5.7481698514009555E-2</v>
      </c>
      <c r="F28" s="338">
        <v>226969</v>
      </c>
      <c r="G28" s="306">
        <f>(F$3/X28)*$Y28</f>
        <v>8547.5580180583529</v>
      </c>
      <c r="H28" s="308">
        <f t="shared" si="11"/>
        <v>4.9536724712576821E-2</v>
      </c>
      <c r="I28" s="340">
        <v>164127</v>
      </c>
      <c r="J28" s="195">
        <f t="shared" si="1"/>
        <v>7834.9097082307298</v>
      </c>
      <c r="K28" s="198">
        <f>$I28/$I$3</f>
        <v>3.9079485454751088E-2</v>
      </c>
      <c r="L28" s="341">
        <v>114226</v>
      </c>
      <c r="M28" s="203">
        <f t="shared" si="2"/>
        <v>7003.462428177002</v>
      </c>
      <c r="N28" s="206">
        <f t="shared" si="13"/>
        <v>3.0426708036149996E-2</v>
      </c>
      <c r="O28" s="344">
        <v>91692</v>
      </c>
      <c r="P28" s="212">
        <f t="shared" si="3"/>
        <v>5269.4481755092902</v>
      </c>
      <c r="Q28" s="215">
        <f t="shared" si="4"/>
        <v>3.2461539278526255E-2</v>
      </c>
      <c r="R28" s="346">
        <v>73433</v>
      </c>
      <c r="S28" s="220">
        <f t="shared" si="5"/>
        <v>3629.2123722110291</v>
      </c>
      <c r="T28" s="223">
        <f t="shared" si="6"/>
        <v>3.7746934696821173E-2</v>
      </c>
      <c r="U28" s="348">
        <v>48087</v>
      </c>
      <c r="V28" s="228">
        <f t="shared" si="7"/>
        <v>89.707857622565484</v>
      </c>
      <c r="W28" s="231">
        <f t="shared" si="10"/>
        <v>2.6871316419013049E-2</v>
      </c>
      <c r="X28" s="351">
        <v>53604</v>
      </c>
      <c r="Y28" s="237">
        <v>100</v>
      </c>
      <c r="Z28" s="238">
        <f t="shared" si="8"/>
        <v>3.0916008741195218E-2</v>
      </c>
      <c r="AA28" s="41"/>
      <c r="AC28" s="4"/>
      <c r="AE28" s="4"/>
      <c r="AG28" s="4"/>
    </row>
    <row r="29" spans="1:33">
      <c r="A29" s="14" t="s">
        <v>50</v>
      </c>
      <c r="B29" s="15" t="s">
        <v>51</v>
      </c>
      <c r="C29" s="633">
        <v>136724</v>
      </c>
      <c r="D29" s="620"/>
      <c r="E29" s="622">
        <f t="shared" si="9"/>
        <v>3.0607655674843019E-2</v>
      </c>
      <c r="F29" s="338">
        <v>226969</v>
      </c>
      <c r="G29" s="306"/>
      <c r="H29" s="308">
        <f t="shared" si="11"/>
        <v>4.9536724712576821E-2</v>
      </c>
      <c r="I29" s="340">
        <v>131714</v>
      </c>
      <c r="J29" s="195"/>
      <c r="K29" s="198">
        <f t="shared" ref="K29:K34" si="19">$I29/$I$3</f>
        <v>3.1361782931431666E-2</v>
      </c>
      <c r="L29" s="341">
        <v>76284</v>
      </c>
      <c r="M29" s="203"/>
      <c r="N29" s="206">
        <f t="shared" si="13"/>
        <v>2.0319988407452475E-2</v>
      </c>
      <c r="O29" s="344">
        <v>53154</v>
      </c>
      <c r="P29" s="212"/>
      <c r="Q29" s="215">
        <f t="shared" si="4"/>
        <v>1.8818006574300751E-2</v>
      </c>
      <c r="R29" s="346">
        <v>27317</v>
      </c>
      <c r="S29" s="220"/>
      <c r="T29" s="223">
        <f t="shared" si="6"/>
        <v>1.4041820640761838E-2</v>
      </c>
      <c r="U29" s="348">
        <v>8303</v>
      </c>
      <c r="V29" s="228"/>
      <c r="W29" s="231">
        <f t="shared" si="10"/>
        <v>4.6397683412786267E-3</v>
      </c>
      <c r="X29" s="351">
        <v>0</v>
      </c>
      <c r="Y29" s="237">
        <v>100</v>
      </c>
      <c r="Z29" s="238">
        <f t="shared" si="8"/>
        <v>0</v>
      </c>
      <c r="AA29" s="41"/>
      <c r="AC29" s="4"/>
      <c r="AE29" s="4"/>
      <c r="AG29" s="4"/>
    </row>
    <row r="30" spans="1:33">
      <c r="A30" s="14" t="s">
        <v>52</v>
      </c>
      <c r="B30" s="15" t="s">
        <v>53</v>
      </c>
      <c r="C30" s="628">
        <v>155481</v>
      </c>
      <c r="D30" s="620">
        <f t="shared" si="0"/>
        <v>272.33412737336226</v>
      </c>
      <c r="E30" s="622">
        <f t="shared" si="9"/>
        <v>3.4806682893861123E-2</v>
      </c>
      <c r="F30" s="337">
        <v>146818</v>
      </c>
      <c r="G30" s="306">
        <f>(F$3/X30)*$Y30</f>
        <v>8025.3503117774826</v>
      </c>
      <c r="H30" s="308">
        <f t="shared" si="11"/>
        <v>3.2043507478338909E-2</v>
      </c>
      <c r="I30" s="339">
        <v>110987</v>
      </c>
      <c r="J30" s="195">
        <f t="shared" si="1"/>
        <v>7356.2408043158412</v>
      </c>
      <c r="K30" s="198">
        <f t="shared" si="19"/>
        <v>2.6426577297863602E-2</v>
      </c>
      <c r="L30" s="341">
        <v>92894</v>
      </c>
      <c r="M30" s="203">
        <f t="shared" si="2"/>
        <v>6575.5902753450573</v>
      </c>
      <c r="N30" s="206">
        <f t="shared" si="13"/>
        <v>2.4744441863587253E-2</v>
      </c>
      <c r="O30" s="344">
        <v>86298</v>
      </c>
      <c r="P30" s="212">
        <f t="shared" si="3"/>
        <v>4947.5145379387659</v>
      </c>
      <c r="Q30" s="215">
        <f t="shared" si="4"/>
        <v>3.0551912016950861E-2</v>
      </c>
      <c r="R30" s="346">
        <v>88718</v>
      </c>
      <c r="S30" s="220">
        <f t="shared" si="5"/>
        <v>3407.4879142436771</v>
      </c>
      <c r="T30" s="223">
        <f t="shared" si="6"/>
        <v>4.5603918571113546E-2</v>
      </c>
      <c r="U30" s="348">
        <v>50746</v>
      </c>
      <c r="V30" s="228">
        <f t="shared" si="7"/>
        <v>88.884607300497436</v>
      </c>
      <c r="W30" s="231">
        <f t="shared" si="10"/>
        <v>2.8357182252983885E-2</v>
      </c>
      <c r="X30" s="351">
        <v>57092</v>
      </c>
      <c r="Y30" s="237">
        <v>100</v>
      </c>
      <c r="Z30" s="238">
        <f t="shared" si="8"/>
        <v>3.2927706347517301E-2</v>
      </c>
      <c r="AA30" s="41"/>
      <c r="AC30" s="4"/>
      <c r="AE30" s="4"/>
      <c r="AG30" s="4"/>
    </row>
    <row r="31" spans="1:33">
      <c r="A31" s="14" t="s">
        <v>54</v>
      </c>
      <c r="B31" s="15" t="s">
        <v>55</v>
      </c>
      <c r="C31" s="628">
        <v>125036</v>
      </c>
      <c r="D31" s="620"/>
      <c r="E31" s="622">
        <f t="shared" si="9"/>
        <v>2.7991126905003307E-2</v>
      </c>
      <c r="F31" s="337">
        <v>116974</v>
      </c>
      <c r="G31" s="306"/>
      <c r="H31" s="308">
        <f t="shared" si="11"/>
        <v>2.552995711541647E-2</v>
      </c>
      <c r="I31" s="339">
        <v>84915</v>
      </c>
      <c r="J31" s="195"/>
      <c r="K31" s="198">
        <f t="shared" si="19"/>
        <v>2.0218699588673339E-2</v>
      </c>
      <c r="L31" s="341">
        <v>60279</v>
      </c>
      <c r="M31" s="203"/>
      <c r="N31" s="206">
        <f t="shared" si="13"/>
        <v>1.6056690540779555E-2</v>
      </c>
      <c r="O31" s="344">
        <v>47700</v>
      </c>
      <c r="P31" s="212"/>
      <c r="Q31" s="215">
        <f t="shared" si="4"/>
        <v>1.6887137630171686E-2</v>
      </c>
      <c r="R31" s="346">
        <v>0</v>
      </c>
      <c r="S31" s="220"/>
      <c r="T31" s="223">
        <f t="shared" si="6"/>
        <v>0</v>
      </c>
      <c r="U31" s="348">
        <v>0</v>
      </c>
      <c r="V31" s="228"/>
      <c r="W31" s="231">
        <f t="shared" si="10"/>
        <v>0</v>
      </c>
      <c r="X31" s="351">
        <v>0</v>
      </c>
      <c r="Y31" s="237">
        <v>100</v>
      </c>
      <c r="Z31" s="238">
        <f t="shared" si="8"/>
        <v>0</v>
      </c>
      <c r="AA31" s="4"/>
      <c r="AC31" s="4"/>
      <c r="AE31" s="4"/>
      <c r="AG31" s="4"/>
    </row>
    <row r="32" spans="1:33">
      <c r="A32" s="14" t="s">
        <v>56</v>
      </c>
      <c r="B32" s="15" t="s">
        <v>57</v>
      </c>
      <c r="C32" s="628">
        <v>30445</v>
      </c>
      <c r="D32" s="620"/>
      <c r="E32" s="622">
        <f t="shared" si="9"/>
        <v>6.8155559888578143E-3</v>
      </c>
      <c r="F32" s="337">
        <v>29844</v>
      </c>
      <c r="G32" s="306"/>
      <c r="H32" s="308">
        <f t="shared" si="11"/>
        <v>6.5135503629224377E-3</v>
      </c>
      <c r="I32" s="339">
        <v>26072</v>
      </c>
      <c r="J32" s="195"/>
      <c r="K32" s="198">
        <f t="shared" si="19"/>
        <v>6.2078777091902635E-3</v>
      </c>
      <c r="L32" s="341">
        <v>32615</v>
      </c>
      <c r="M32" s="203"/>
      <c r="N32" s="206">
        <f>$L32/$L$3</f>
        <v>8.6877513228076977E-3</v>
      </c>
      <c r="O32" s="344">
        <v>38598</v>
      </c>
      <c r="P32" s="212"/>
      <c r="Q32" s="215">
        <f t="shared" si="4"/>
        <v>1.3664774386779177E-2</v>
      </c>
      <c r="R32" s="346">
        <v>41694</v>
      </c>
      <c r="S32" s="220"/>
      <c r="T32" s="223">
        <f t="shared" si="6"/>
        <v>2.1432063176627155E-2</v>
      </c>
      <c r="U32" s="348">
        <v>0</v>
      </c>
      <c r="V32" s="228"/>
      <c r="W32" s="231">
        <f t="shared" si="10"/>
        <v>0</v>
      </c>
      <c r="X32" s="351">
        <v>0</v>
      </c>
      <c r="Y32" s="237">
        <v>100</v>
      </c>
      <c r="Z32" s="238">
        <f t="shared" si="8"/>
        <v>0</v>
      </c>
      <c r="AA32" s="4"/>
      <c r="AC32" s="4"/>
      <c r="AE32" s="4"/>
      <c r="AG32" s="4"/>
    </row>
    <row r="33" spans="1:33">
      <c r="A33" s="27" t="s">
        <v>58</v>
      </c>
      <c r="B33" s="21" t="s">
        <v>59</v>
      </c>
      <c r="C33" s="631">
        <v>321187</v>
      </c>
      <c r="D33" s="620">
        <f t="shared" si="0"/>
        <v>516.62699050989227</v>
      </c>
      <c r="E33" s="622">
        <f t="shared" si="9"/>
        <v>7.1902380732247487E-2</v>
      </c>
      <c r="F33" s="337">
        <v>130527</v>
      </c>
      <c r="G33" s="306">
        <f>(F$3/X33)*$Y33</f>
        <v>7369.8455846871484</v>
      </c>
      <c r="H33" s="308">
        <f t="shared" si="11"/>
        <v>2.8487943580658658E-2</v>
      </c>
      <c r="I33" s="339">
        <v>110777</v>
      </c>
      <c r="J33" s="195">
        <f t="shared" si="1"/>
        <v>6755.3884510213929</v>
      </c>
      <c r="K33" s="199">
        <f t="shared" si="19"/>
        <v>2.6376575214443459E-2</v>
      </c>
      <c r="L33" s="342">
        <v>86994</v>
      </c>
      <c r="M33" s="203">
        <f t="shared" si="2"/>
        <v>6038.5008846710634</v>
      </c>
      <c r="N33" s="209">
        <f>$L33/$L$3</f>
        <v>2.3172841900240163E-2</v>
      </c>
      <c r="O33" s="345">
        <v>97823</v>
      </c>
      <c r="P33" s="212">
        <f t="shared" si="3"/>
        <v>4543.4051793469525</v>
      </c>
      <c r="Q33" s="218">
        <f>$O33/$O$3</f>
        <v>3.4632085207469285E-2</v>
      </c>
      <c r="R33" s="347">
        <v>105138</v>
      </c>
      <c r="S33" s="220">
        <f t="shared" si="5"/>
        <v>3129.1668007077369</v>
      </c>
      <c r="T33" s="226">
        <f>$R33/$R$3</f>
        <v>5.4044329118439725E-2</v>
      </c>
      <c r="U33" s="348">
        <v>79416</v>
      </c>
      <c r="V33" s="228">
        <f t="shared" si="7"/>
        <v>127.74006755669937</v>
      </c>
      <c r="W33" s="233">
        <f>$U33/$U$3</f>
        <v>4.4378157604598754E-2</v>
      </c>
      <c r="X33" s="351">
        <v>62170</v>
      </c>
      <c r="Y33" s="237">
        <v>100</v>
      </c>
      <c r="Z33" s="238">
        <f t="shared" si="8"/>
        <v>3.5856433539290106E-2</v>
      </c>
      <c r="AA33" s="4"/>
      <c r="AC33" s="4"/>
      <c r="AE33" s="4"/>
      <c r="AG33" s="4"/>
    </row>
    <row r="34" spans="1:33">
      <c r="A34" s="28">
        <v>2</v>
      </c>
      <c r="B34" s="28" t="s">
        <v>60</v>
      </c>
      <c r="C34" s="634">
        <v>4466987</v>
      </c>
      <c r="D34" s="620">
        <f t="shared" si="0"/>
        <v>257.63265640400977</v>
      </c>
      <c r="E34" s="622">
        <f t="shared" si="9"/>
        <v>1</v>
      </c>
      <c r="F34" s="383">
        <v>4581833</v>
      </c>
      <c r="G34" s="306">
        <f>(F$3/X34)*$Y34</f>
        <v>264.25637840216535</v>
      </c>
      <c r="H34" s="308">
        <f t="shared" si="11"/>
        <v>1</v>
      </c>
      <c r="I34" s="377">
        <v>4199825</v>
      </c>
      <c r="J34" s="195">
        <f t="shared" si="1"/>
        <v>242.22413702613648</v>
      </c>
      <c r="K34" s="196">
        <f t="shared" si="19"/>
        <v>1</v>
      </c>
      <c r="L34" s="374">
        <v>3754136</v>
      </c>
      <c r="M34" s="203">
        <f t="shared" si="2"/>
        <v>216.51910564815248</v>
      </c>
      <c r="N34" s="210">
        <f>$L$34/$L$34</f>
        <v>1</v>
      </c>
      <c r="O34" s="368">
        <v>2824635</v>
      </c>
      <c r="P34" s="212">
        <f t="shared" si="3"/>
        <v>162.91030585532042</v>
      </c>
      <c r="Q34" s="213">
        <f>$O$34/$O$34</f>
        <v>1</v>
      </c>
      <c r="R34" s="362">
        <v>1945403</v>
      </c>
      <c r="S34" s="220">
        <f t="shared" si="5"/>
        <v>112.20076142293</v>
      </c>
      <c r="T34" s="221">
        <f>$R$34/$R$34</f>
        <v>1</v>
      </c>
      <c r="U34" s="356">
        <v>1789529</v>
      </c>
      <c r="V34" s="228">
        <f t="shared" si="7"/>
        <v>103.21075704541143</v>
      </c>
      <c r="W34" s="229">
        <f t="shared" ref="W34:W73" si="20">$U34/$U$34</f>
        <v>1</v>
      </c>
      <c r="X34" s="351">
        <v>1733859</v>
      </c>
      <c r="Y34" s="237">
        <v>100</v>
      </c>
      <c r="Z34" s="238">
        <f t="shared" si="8"/>
        <v>1</v>
      </c>
      <c r="AA34" s="4"/>
      <c r="AC34" s="4"/>
      <c r="AE34" s="4"/>
      <c r="AG34" s="4"/>
    </row>
    <row r="35" spans="1:33">
      <c r="A35" s="30" t="s">
        <v>61</v>
      </c>
      <c r="B35" s="31" t="s">
        <v>62</v>
      </c>
      <c r="C35" s="635">
        <v>1503102</v>
      </c>
      <c r="D35" s="620">
        <f t="shared" si="0"/>
        <v>137.80040374703651</v>
      </c>
      <c r="E35" s="622">
        <f t="shared" si="9"/>
        <v>0.33649124118785212</v>
      </c>
      <c r="F35" s="387">
        <v>1934265</v>
      </c>
      <c r="G35" s="306">
        <f>(F$3/X35)*$Y35</f>
        <v>420.05029419260677</v>
      </c>
      <c r="H35" s="308">
        <f t="shared" si="11"/>
        <v>0.42215964658685728</v>
      </c>
      <c r="I35" s="381">
        <v>1773213</v>
      </c>
      <c r="J35" s="195">
        <f t="shared" si="1"/>
        <v>385.02881419018649</v>
      </c>
      <c r="K35" s="197">
        <f>$I$3/$I$3</f>
        <v>1</v>
      </c>
      <c r="L35" s="375">
        <v>1937651</v>
      </c>
      <c r="M35" s="203">
        <f t="shared" si="2"/>
        <v>344.16922904851748</v>
      </c>
      <c r="N35" s="205">
        <f t="shared" ref="N35:N52" si="21">$L35/$L$34</f>
        <v>0.51613766789482318</v>
      </c>
      <c r="O35" s="365">
        <v>1370932</v>
      </c>
      <c r="P35" s="212">
        <f t="shared" si="3"/>
        <v>258.95504326254007</v>
      </c>
      <c r="Q35" s="214">
        <f t="shared" ref="Q35:Q74" si="22">$O35/$O$34</f>
        <v>0.48534837244458134</v>
      </c>
      <c r="R35" s="359">
        <v>1178943</v>
      </c>
      <c r="S35" s="220">
        <f t="shared" si="5"/>
        <v>178.34938603680661</v>
      </c>
      <c r="T35" s="222">
        <f t="shared" ref="T35:T74" si="23">$R35/$R$34</f>
        <v>0.60601479487797649</v>
      </c>
      <c r="U35" s="355">
        <v>1111886</v>
      </c>
      <c r="V35" s="228">
        <f t="shared" si="7"/>
        <v>101.93475873272571</v>
      </c>
      <c r="W35" s="230">
        <f t="shared" si="20"/>
        <v>0.62132885245223746</v>
      </c>
      <c r="X35" s="351">
        <v>1090782</v>
      </c>
      <c r="Y35" s="237">
        <v>100</v>
      </c>
      <c r="Z35" s="238">
        <f t="shared" si="8"/>
        <v>0.62910651904220583</v>
      </c>
      <c r="AA35" s="4"/>
      <c r="AC35" s="4"/>
      <c r="AE35" s="4"/>
      <c r="AG35" s="4"/>
    </row>
    <row r="36" spans="1:33">
      <c r="A36" s="14" t="s">
        <v>63</v>
      </c>
      <c r="B36" s="14" t="s">
        <v>64</v>
      </c>
      <c r="C36" s="636">
        <v>105953</v>
      </c>
      <c r="D36" s="620">
        <f t="shared" si="0"/>
        <v>526.55302653811748</v>
      </c>
      <c r="E36" s="622">
        <f t="shared" si="9"/>
        <v>2.3719119845211099E-2</v>
      </c>
      <c r="F36" s="338">
        <v>80891</v>
      </c>
      <c r="G36" s="306"/>
      <c r="H36" s="308">
        <f t="shared" si="11"/>
        <v>1.7654724648410364E-2</v>
      </c>
      <c r="I36" s="340">
        <v>42753</v>
      </c>
      <c r="J36" s="195"/>
      <c r="K36" s="197">
        <f>$I36/$I$35</f>
        <v>2.4110470654117696E-2</v>
      </c>
      <c r="L36" s="341">
        <v>38387</v>
      </c>
      <c r="M36" s="203"/>
      <c r="N36" s="206">
        <f t="shared" si="21"/>
        <v>1.0225255558136413E-2</v>
      </c>
      <c r="O36" s="344">
        <v>33263</v>
      </c>
      <c r="P36" s="212"/>
      <c r="Q36" s="215">
        <f t="shared" si="22"/>
        <v>1.1776034779714901E-2</v>
      </c>
      <c r="R36" s="346">
        <v>20281</v>
      </c>
      <c r="S36" s="220"/>
      <c r="T36" s="223">
        <f t="shared" si="23"/>
        <v>1.0425089300263236E-2</v>
      </c>
      <c r="U36" s="348">
        <v>18205</v>
      </c>
      <c r="V36" s="228"/>
      <c r="W36" s="231">
        <f t="shared" si="20"/>
        <v>1.0173067885460364E-2</v>
      </c>
      <c r="X36" s="351">
        <v>20122</v>
      </c>
      <c r="Y36" s="237">
        <v>100</v>
      </c>
      <c r="Z36" s="238">
        <f t="shared" si="8"/>
        <v>1.1605326615370684E-2</v>
      </c>
      <c r="AA36" s="4"/>
      <c r="AC36" s="4"/>
      <c r="AE36" s="4"/>
      <c r="AG36" s="4"/>
    </row>
    <row r="37" spans="1:33">
      <c r="A37" s="14" t="s">
        <v>65</v>
      </c>
      <c r="B37" s="14" t="s">
        <v>66</v>
      </c>
      <c r="C37" s="637">
        <v>658247</v>
      </c>
      <c r="D37" s="620">
        <f t="shared" si="0"/>
        <v>135.40248610999691</v>
      </c>
      <c r="E37" s="622">
        <f t="shared" si="9"/>
        <v>0.1473581633436587</v>
      </c>
      <c r="F37" s="337">
        <v>832121</v>
      </c>
      <c r="G37" s="306">
        <f>(F$3/X37)*$Y37</f>
        <v>942.49055315227486</v>
      </c>
      <c r="H37" s="308">
        <f t="shared" si="11"/>
        <v>0.18161312295755869</v>
      </c>
      <c r="I37" s="339">
        <v>594245</v>
      </c>
      <c r="J37" s="195">
        <f t="shared" si="1"/>
        <v>863.91088182235194</v>
      </c>
      <c r="K37" s="198">
        <f>$I37/$I$35</f>
        <v>0.33512330441971722</v>
      </c>
      <c r="L37" s="341">
        <v>1186214</v>
      </c>
      <c r="M37" s="203">
        <f t="shared" si="2"/>
        <v>772.23192448281463</v>
      </c>
      <c r="N37" s="206">
        <f t="shared" si="21"/>
        <v>0.31597523371556063</v>
      </c>
      <c r="O37" s="344">
        <v>562210</v>
      </c>
      <c r="P37" s="212">
        <f t="shared" si="3"/>
        <v>581.03204625818444</v>
      </c>
      <c r="Q37" s="215">
        <f t="shared" si="22"/>
        <v>0.19903810580836109</v>
      </c>
      <c r="R37" s="346">
        <v>383964</v>
      </c>
      <c r="S37" s="220">
        <f t="shared" si="5"/>
        <v>400.17258367428383</v>
      </c>
      <c r="T37" s="223">
        <f t="shared" si="23"/>
        <v>0.19736990227731735</v>
      </c>
      <c r="U37" s="348">
        <v>449260</v>
      </c>
      <c r="V37" s="228">
        <f t="shared" si="7"/>
        <v>92.413517888842946</v>
      </c>
      <c r="W37" s="231">
        <f t="shared" si="20"/>
        <v>0.25104929844668628</v>
      </c>
      <c r="X37" s="351">
        <v>486141</v>
      </c>
      <c r="Y37" s="237">
        <v>100</v>
      </c>
      <c r="Z37" s="238">
        <f t="shared" si="8"/>
        <v>0.28038093062930725</v>
      </c>
      <c r="AA37" s="4"/>
      <c r="AC37" s="4"/>
      <c r="AE37" s="4"/>
      <c r="AG37" s="4"/>
    </row>
    <row r="38" spans="1:33">
      <c r="A38" s="14" t="s">
        <v>67</v>
      </c>
      <c r="B38" s="14" t="s">
        <v>68</v>
      </c>
      <c r="C38" s="637">
        <v>105953</v>
      </c>
      <c r="D38" s="620"/>
      <c r="E38" s="622">
        <f t="shared" si="9"/>
        <v>2.3719119845211099E-2</v>
      </c>
      <c r="F38" s="337">
        <v>191211</v>
      </c>
      <c r="G38" s="306"/>
      <c r="H38" s="308">
        <f t="shared" si="11"/>
        <v>4.1732424555849156E-2</v>
      </c>
      <c r="I38" s="339">
        <v>290682</v>
      </c>
      <c r="J38" s="195"/>
      <c r="K38" s="198">
        <f t="shared" ref="K38:K74" si="24">$I38/$I$35</f>
        <v>0.16392954484317451</v>
      </c>
      <c r="L38" s="341">
        <v>280741</v>
      </c>
      <c r="M38" s="203"/>
      <c r="N38" s="206"/>
      <c r="O38" s="344">
        <v>207963</v>
      </c>
      <c r="P38" s="212"/>
      <c r="Q38" s="215"/>
      <c r="R38" s="346">
        <v>196025</v>
      </c>
      <c r="S38" s="220"/>
      <c r="T38" s="223"/>
      <c r="U38" s="348">
        <v>280194</v>
      </c>
      <c r="V38" s="228"/>
      <c r="W38" s="231">
        <f t="shared" si="20"/>
        <v>0.15657416001640656</v>
      </c>
      <c r="X38" s="351">
        <v>0</v>
      </c>
      <c r="Y38" s="237">
        <v>100</v>
      </c>
      <c r="Z38" s="238">
        <f t="shared" si="8"/>
        <v>0</v>
      </c>
      <c r="AA38" s="4"/>
      <c r="AC38" s="4"/>
      <c r="AE38" s="4"/>
      <c r="AG38" s="4"/>
    </row>
    <row r="39" spans="1:33">
      <c r="A39" s="14" t="s">
        <v>69</v>
      </c>
      <c r="B39" s="14" t="s">
        <v>70</v>
      </c>
      <c r="C39" s="637">
        <v>167077</v>
      </c>
      <c r="D39" s="620"/>
      <c r="E39" s="622">
        <f t="shared" si="9"/>
        <v>3.7402616125813665E-2</v>
      </c>
      <c r="F39" s="337">
        <v>0</v>
      </c>
      <c r="G39" s="306"/>
      <c r="H39" s="308">
        <f t="shared" si="11"/>
        <v>0</v>
      </c>
      <c r="I39" s="339">
        <v>0</v>
      </c>
      <c r="J39" s="195"/>
      <c r="K39" s="198">
        <f t="shared" si="24"/>
        <v>0</v>
      </c>
      <c r="L39" s="341">
        <v>0</v>
      </c>
      <c r="M39" s="203"/>
      <c r="N39" s="206"/>
      <c r="O39" s="344">
        <v>0</v>
      </c>
      <c r="P39" s="212"/>
      <c r="Q39" s="215"/>
      <c r="R39" s="346">
        <v>0</v>
      </c>
      <c r="S39" s="220"/>
      <c r="T39" s="223"/>
      <c r="U39" s="348">
        <v>0</v>
      </c>
      <c r="V39" s="228"/>
      <c r="W39" s="231">
        <f t="shared" si="20"/>
        <v>0</v>
      </c>
      <c r="X39" s="351">
        <v>0</v>
      </c>
      <c r="Y39" s="237">
        <v>100</v>
      </c>
      <c r="Z39" s="238">
        <f t="shared" si="8"/>
        <v>0</v>
      </c>
      <c r="AA39" s="4"/>
      <c r="AC39" s="4"/>
      <c r="AE39" s="4"/>
      <c r="AG39" s="4"/>
    </row>
    <row r="40" spans="1:33">
      <c r="A40" s="14" t="s">
        <v>71</v>
      </c>
      <c r="B40" s="14" t="s">
        <v>72</v>
      </c>
      <c r="C40" s="637">
        <v>491170</v>
      </c>
      <c r="D40" s="620"/>
      <c r="E40" s="622">
        <f t="shared" si="9"/>
        <v>0.10995554721784505</v>
      </c>
      <c r="F40" s="337">
        <v>0</v>
      </c>
      <c r="G40" s="306"/>
      <c r="H40" s="308">
        <f t="shared" si="11"/>
        <v>0</v>
      </c>
      <c r="I40" s="339">
        <v>0</v>
      </c>
      <c r="J40" s="195"/>
      <c r="K40" s="198">
        <f t="shared" si="24"/>
        <v>0</v>
      </c>
      <c r="L40" s="341">
        <v>0</v>
      </c>
      <c r="M40" s="203"/>
      <c r="N40" s="206"/>
      <c r="O40" s="344">
        <v>0</v>
      </c>
      <c r="P40" s="212"/>
      <c r="Q40" s="215"/>
      <c r="R40" s="346">
        <v>0</v>
      </c>
      <c r="S40" s="220"/>
      <c r="T40" s="223"/>
      <c r="U40" s="348">
        <v>0</v>
      </c>
      <c r="V40" s="228"/>
      <c r="W40" s="231">
        <f t="shared" si="20"/>
        <v>0</v>
      </c>
      <c r="X40" s="351">
        <v>0</v>
      </c>
      <c r="Y40" s="237">
        <v>100</v>
      </c>
      <c r="Z40" s="238">
        <f t="shared" si="8"/>
        <v>0</v>
      </c>
      <c r="AA40" s="4"/>
      <c r="AC40" s="4"/>
      <c r="AE40" s="4"/>
      <c r="AG40" s="4"/>
    </row>
    <row r="41" spans="1:33">
      <c r="A41" s="14" t="s">
        <v>73</v>
      </c>
      <c r="B41" s="14" t="s">
        <v>74</v>
      </c>
      <c r="C41" s="637">
        <v>102656</v>
      </c>
      <c r="D41" s="620">
        <f t="shared" si="0"/>
        <v>285.39338337503477</v>
      </c>
      <c r="E41" s="622">
        <f t="shared" si="9"/>
        <v>2.2981038449406726E-2</v>
      </c>
      <c r="F41" s="337">
        <v>73369</v>
      </c>
      <c r="G41" s="306">
        <f>(F$3/X41)*$Y41</f>
        <v>12737.928829580205</v>
      </c>
      <c r="H41" s="308">
        <f t="shared" si="11"/>
        <v>1.6013023608673647E-2</v>
      </c>
      <c r="I41" s="339">
        <v>192806</v>
      </c>
      <c r="J41" s="195">
        <f t="shared" si="1"/>
        <v>11675.910480956352</v>
      </c>
      <c r="K41" s="198">
        <f t="shared" si="24"/>
        <v>0.10873256625120614</v>
      </c>
      <c r="L41" s="341">
        <v>52814</v>
      </c>
      <c r="M41" s="203">
        <f t="shared" si="2"/>
        <v>10436.852932999722</v>
      </c>
      <c r="N41" s="206">
        <f t="shared" si="21"/>
        <v>1.4068217027832768E-2</v>
      </c>
      <c r="O41" s="344">
        <v>32037</v>
      </c>
      <c r="P41" s="212">
        <f t="shared" si="3"/>
        <v>7852.7522935779816</v>
      </c>
      <c r="Q41" s="215">
        <f t="shared" si="22"/>
        <v>1.1341996399534806E-2</v>
      </c>
      <c r="R41" s="346">
        <v>24035</v>
      </c>
      <c r="S41" s="220">
        <f t="shared" si="5"/>
        <v>5408.4042257436749</v>
      </c>
      <c r="T41" s="223">
        <f t="shared" si="23"/>
        <v>1.2354766595918686E-2</v>
      </c>
      <c r="U41" s="348">
        <v>21563</v>
      </c>
      <c r="V41" s="228">
        <f t="shared" si="7"/>
        <v>59.947178204058936</v>
      </c>
      <c r="W41" s="231">
        <f t="shared" si="20"/>
        <v>1.2049539292182469E-2</v>
      </c>
      <c r="X41" s="351">
        <v>35970</v>
      </c>
      <c r="Y41" s="237">
        <v>100</v>
      </c>
      <c r="Z41" s="238">
        <f t="shared" si="8"/>
        <v>2.0745631565196477E-2</v>
      </c>
      <c r="AA41" s="4"/>
      <c r="AC41" s="4"/>
      <c r="AE41" s="4"/>
      <c r="AG41" s="4"/>
    </row>
    <row r="42" spans="1:33">
      <c r="A42" s="14" t="s">
        <v>75</v>
      </c>
      <c r="B42" s="14" t="s">
        <v>76</v>
      </c>
      <c r="C42" s="637">
        <v>100299</v>
      </c>
      <c r="D42" s="620"/>
      <c r="E42" s="622">
        <f t="shared" si="9"/>
        <v>2.2453389723319096E-2</v>
      </c>
      <c r="F42" s="337">
        <v>60165</v>
      </c>
      <c r="G42" s="306"/>
      <c r="H42" s="308">
        <f t="shared" si="11"/>
        <v>1.3131207532007387E-2</v>
      </c>
      <c r="I42" s="339">
        <v>180197</v>
      </c>
      <c r="J42" s="195"/>
      <c r="K42" s="198">
        <f t="shared" si="24"/>
        <v>0.10162174538535415</v>
      </c>
      <c r="L42" s="341">
        <v>40831</v>
      </c>
      <c r="M42" s="203"/>
      <c r="N42" s="206">
        <f t="shared" si="21"/>
        <v>1.087627086498731E-2</v>
      </c>
      <c r="O42" s="344">
        <v>27643</v>
      </c>
      <c r="P42" s="212"/>
      <c r="Q42" s="215">
        <f t="shared" si="22"/>
        <v>9.7863971805206684E-3</v>
      </c>
      <c r="R42" s="346">
        <v>19004</v>
      </c>
      <c r="S42" s="220"/>
      <c r="T42" s="223">
        <f t="shared" si="23"/>
        <v>9.7686700390613151E-3</v>
      </c>
      <c r="U42" s="348">
        <v>20242</v>
      </c>
      <c r="V42" s="228"/>
      <c r="W42" s="231">
        <f t="shared" si="20"/>
        <v>1.1311356228370706E-2</v>
      </c>
      <c r="X42" s="351">
        <v>0</v>
      </c>
      <c r="Y42" s="237">
        <v>100</v>
      </c>
      <c r="Z42" s="238">
        <f t="shared" si="8"/>
        <v>0</v>
      </c>
      <c r="AA42" s="4"/>
      <c r="AC42" s="4"/>
      <c r="AE42" s="4"/>
      <c r="AG42" s="4"/>
    </row>
    <row r="43" spans="1:33">
      <c r="A43" s="14" t="s">
        <v>77</v>
      </c>
      <c r="B43" s="14" t="s">
        <v>78</v>
      </c>
      <c r="C43" s="637">
        <v>93811</v>
      </c>
      <c r="D43" s="620"/>
      <c r="E43" s="622">
        <f t="shared" si="9"/>
        <v>2.1000956573189043E-2</v>
      </c>
      <c r="F43" s="337">
        <v>0</v>
      </c>
      <c r="G43" s="306"/>
      <c r="H43" s="308">
        <f t="shared" si="11"/>
        <v>0</v>
      </c>
      <c r="I43" s="339">
        <v>0</v>
      </c>
      <c r="J43" s="195"/>
      <c r="K43" s="198">
        <f t="shared" si="24"/>
        <v>0</v>
      </c>
      <c r="L43" s="341">
        <v>0</v>
      </c>
      <c r="M43" s="203"/>
      <c r="N43" s="206">
        <f t="shared" si="21"/>
        <v>0</v>
      </c>
      <c r="O43" s="344">
        <v>0</v>
      </c>
      <c r="P43" s="212"/>
      <c r="Q43" s="215">
        <f t="shared" si="22"/>
        <v>0</v>
      </c>
      <c r="R43" s="346">
        <v>0</v>
      </c>
      <c r="S43" s="220"/>
      <c r="T43" s="223">
        <f t="shared" si="23"/>
        <v>0</v>
      </c>
      <c r="U43" s="348">
        <v>0</v>
      </c>
      <c r="V43" s="228"/>
      <c r="W43" s="231">
        <f t="shared" si="20"/>
        <v>0</v>
      </c>
      <c r="X43" s="351">
        <v>0</v>
      </c>
      <c r="Y43" s="237">
        <v>100</v>
      </c>
      <c r="Z43" s="238">
        <f t="shared" si="8"/>
        <v>0</v>
      </c>
      <c r="AA43" s="38"/>
      <c r="AE43" s="4"/>
      <c r="AG43" s="4"/>
    </row>
    <row r="44" spans="1:33">
      <c r="A44" s="14" t="s">
        <v>79</v>
      </c>
      <c r="B44" s="14" t="s">
        <v>80</v>
      </c>
      <c r="C44" s="637">
        <v>341080</v>
      </c>
      <c r="D44" s="620">
        <f t="shared" si="0"/>
        <v>77.5701891040584</v>
      </c>
      <c r="E44" s="622">
        <f t="shared" si="9"/>
        <v>7.6355718071263692E-2</v>
      </c>
      <c r="F44" s="337">
        <v>694839</v>
      </c>
      <c r="G44" s="306"/>
      <c r="H44" s="308">
        <f t="shared" si="11"/>
        <v>0.15165087858942045</v>
      </c>
      <c r="I44" s="339">
        <v>655704</v>
      </c>
      <c r="J44" s="195"/>
      <c r="K44" s="198">
        <f t="shared" si="24"/>
        <v>0.36978298715382757</v>
      </c>
      <c r="L44" s="341">
        <v>400196</v>
      </c>
      <c r="M44" s="203"/>
      <c r="N44" s="206">
        <f t="shared" si="21"/>
        <v>0.10660135914095813</v>
      </c>
      <c r="O44" s="344">
        <v>461373</v>
      </c>
      <c r="P44" s="212"/>
      <c r="Q44" s="215">
        <f t="shared" si="22"/>
        <v>0.16333898008061218</v>
      </c>
      <c r="R44" s="346">
        <v>601728</v>
      </c>
      <c r="S44" s="220"/>
      <c r="T44" s="223">
        <f t="shared" si="23"/>
        <v>0.30930763445928683</v>
      </c>
      <c r="U44" s="348">
        <v>519434</v>
      </c>
      <c r="V44" s="228"/>
      <c r="W44" s="231">
        <f t="shared" si="20"/>
        <v>0.2902629686358813</v>
      </c>
      <c r="X44" s="351">
        <v>439705</v>
      </c>
      <c r="Y44" s="237">
        <v>100</v>
      </c>
      <c r="Z44" s="238">
        <f t="shared" si="8"/>
        <v>0.25359905274881062</v>
      </c>
      <c r="AA44" s="4"/>
      <c r="AC44" s="4"/>
      <c r="AE44" s="4"/>
      <c r="AG44" s="4"/>
    </row>
    <row r="45" spans="1:33">
      <c r="A45" s="14" t="s">
        <v>81</v>
      </c>
      <c r="B45" s="14" t="s">
        <v>82</v>
      </c>
      <c r="C45" s="637">
        <v>156265</v>
      </c>
      <c r="D45" s="620">
        <f t="shared" si="0"/>
        <v>821.23712423796519</v>
      </c>
      <c r="E45" s="622">
        <f t="shared" si="9"/>
        <v>3.4982192694986577E-2</v>
      </c>
      <c r="F45" s="337">
        <v>123124</v>
      </c>
      <c r="G45" s="306">
        <f>(F$3/X45)*$Y45</f>
        <v>24079.425057809545</v>
      </c>
      <c r="H45" s="308">
        <f t="shared" si="11"/>
        <v>2.687221467914697E-2</v>
      </c>
      <c r="I45" s="339">
        <v>118263</v>
      </c>
      <c r="J45" s="195">
        <f t="shared" si="1"/>
        <v>22071.815219676268</v>
      </c>
      <c r="K45" s="198">
        <f t="shared" si="24"/>
        <v>6.6694187331132804E-2</v>
      </c>
      <c r="L45" s="341">
        <v>95975</v>
      </c>
      <c r="M45" s="203">
        <f t="shared" si="2"/>
        <v>19729.535421484128</v>
      </c>
      <c r="N45" s="206">
        <f t="shared" si="21"/>
        <v>2.5565136691904609E-2</v>
      </c>
      <c r="O45" s="344">
        <v>135275</v>
      </c>
      <c r="P45" s="212">
        <f t="shared" si="3"/>
        <v>14844.623712423796</v>
      </c>
      <c r="Q45" s="215">
        <f t="shared" si="22"/>
        <v>4.7891143457473265E-2</v>
      </c>
      <c r="R45" s="346">
        <v>57980</v>
      </c>
      <c r="S45" s="220">
        <f t="shared" si="5"/>
        <v>10223.896363254151</v>
      </c>
      <c r="T45" s="223">
        <f t="shared" si="23"/>
        <v>2.9803593394273579E-2</v>
      </c>
      <c r="U45" s="348">
        <v>24220</v>
      </c>
      <c r="V45" s="228">
        <f t="shared" si="7"/>
        <v>127.28610468782846</v>
      </c>
      <c r="W45" s="231">
        <f t="shared" si="20"/>
        <v>1.3534287513641857E-2</v>
      </c>
      <c r="X45" s="351">
        <v>19028</v>
      </c>
      <c r="Y45" s="237">
        <v>100</v>
      </c>
      <c r="Z45" s="238">
        <f t="shared" si="8"/>
        <v>1.0974364120727234E-2</v>
      </c>
      <c r="AA45" s="4"/>
      <c r="AC45" s="4"/>
      <c r="AE45" s="4"/>
      <c r="AG45" s="4"/>
    </row>
    <row r="46" spans="1:33">
      <c r="A46" s="14" t="s">
        <v>83</v>
      </c>
      <c r="B46" s="14" t="s">
        <v>84</v>
      </c>
      <c r="C46" s="637">
        <v>1205</v>
      </c>
      <c r="D46" s="620">
        <f t="shared" si="0"/>
        <v>31.59412690089145</v>
      </c>
      <c r="E46" s="622">
        <f t="shared" si="9"/>
        <v>2.6975677341348875E-4</v>
      </c>
      <c r="F46" s="337">
        <v>2949</v>
      </c>
      <c r="G46" s="306">
        <f>(F$3/X46)*$Y46</f>
        <v>120131.96119559518</v>
      </c>
      <c r="H46" s="308">
        <f t="shared" si="11"/>
        <v>6.4362887080345358E-4</v>
      </c>
      <c r="I46" s="339">
        <v>1140</v>
      </c>
      <c r="J46" s="195">
        <f t="shared" si="1"/>
        <v>110116.01992658625</v>
      </c>
      <c r="K46" s="198">
        <f t="shared" si="24"/>
        <v>6.4290076826641811E-4</v>
      </c>
      <c r="L46" s="341">
        <v>745</v>
      </c>
      <c r="M46" s="203">
        <f t="shared" si="2"/>
        <v>98430.414263240687</v>
      </c>
      <c r="N46" s="206">
        <f t="shared" si="21"/>
        <v>1.9844779198196336E-4</v>
      </c>
      <c r="O46" s="344">
        <v>1213</v>
      </c>
      <c r="P46" s="212">
        <f t="shared" si="3"/>
        <v>74059.648662821186</v>
      </c>
      <c r="Q46" s="215">
        <f t="shared" si="22"/>
        <v>4.2943601562679782E-4</v>
      </c>
      <c r="R46" s="346">
        <v>763</v>
      </c>
      <c r="S46" s="220">
        <f t="shared" si="5"/>
        <v>51006.895647614059</v>
      </c>
      <c r="T46" s="223">
        <f t="shared" si="23"/>
        <v>3.9220665332581476E-4</v>
      </c>
      <c r="U46" s="348">
        <v>755</v>
      </c>
      <c r="V46" s="228">
        <f t="shared" si="7"/>
        <v>19.795490298898795</v>
      </c>
      <c r="W46" s="231">
        <f t="shared" si="20"/>
        <v>4.2189872307182505E-4</v>
      </c>
      <c r="X46" s="351">
        <v>3814</v>
      </c>
      <c r="Y46" s="237">
        <v>100</v>
      </c>
      <c r="Z46" s="238">
        <f t="shared" si="8"/>
        <v>2.1997175087478276E-3</v>
      </c>
      <c r="AA46" s="38"/>
      <c r="AC46" s="4"/>
      <c r="AE46" s="4"/>
      <c r="AG46" s="4"/>
    </row>
    <row r="47" spans="1:33">
      <c r="A47" s="14" t="s">
        <v>85</v>
      </c>
      <c r="B47" s="14" t="s">
        <v>24</v>
      </c>
      <c r="C47" s="637">
        <v>155060</v>
      </c>
      <c r="D47" s="620">
        <f t="shared" si="0"/>
        <v>1019.1928486919942</v>
      </c>
      <c r="E47" s="622">
        <f t="shared" si="9"/>
        <v>3.4712435921573088E-2</v>
      </c>
      <c r="F47" s="337">
        <v>120175</v>
      </c>
      <c r="G47" s="306">
        <f>(F$3/X47)*$Y47</f>
        <v>30115.899829104776</v>
      </c>
      <c r="H47" s="308">
        <f t="shared" si="11"/>
        <v>2.6228585808343516E-2</v>
      </c>
      <c r="I47" s="339">
        <v>117123</v>
      </c>
      <c r="J47" s="195">
        <f t="shared" si="1"/>
        <v>27605.001971868016</v>
      </c>
      <c r="K47" s="198">
        <f t="shared" si="24"/>
        <v>6.6051286562866393E-2</v>
      </c>
      <c r="L47" s="341">
        <v>95230</v>
      </c>
      <c r="M47" s="203">
        <f t="shared" si="2"/>
        <v>24675.535690811095</v>
      </c>
      <c r="N47" s="206">
        <f t="shared" si="21"/>
        <v>2.5366688899922645E-2</v>
      </c>
      <c r="O47" s="344">
        <v>134062</v>
      </c>
      <c r="P47" s="212">
        <f t="shared" si="3"/>
        <v>18566.024714079136</v>
      </c>
      <c r="Q47" s="215">
        <f t="shared" si="22"/>
        <v>4.7461707441846468E-2</v>
      </c>
      <c r="R47" s="346">
        <v>57217</v>
      </c>
      <c r="S47" s="220">
        <f t="shared" si="5"/>
        <v>12786.926515051926</v>
      </c>
      <c r="T47" s="223">
        <f t="shared" si="23"/>
        <v>2.9411386740947763E-2</v>
      </c>
      <c r="U47" s="348">
        <v>23465</v>
      </c>
      <c r="V47" s="228">
        <f t="shared" si="7"/>
        <v>154.23294334165899</v>
      </c>
      <c r="W47" s="231">
        <f t="shared" si="20"/>
        <v>1.3112388790570032E-2</v>
      </c>
      <c r="X47" s="351">
        <v>15214</v>
      </c>
      <c r="Y47" s="237">
        <v>100</v>
      </c>
      <c r="Z47" s="238">
        <f t="shared" si="8"/>
        <v>8.7746466119794052E-3</v>
      </c>
      <c r="AA47" s="38"/>
      <c r="AC47" s="4"/>
      <c r="AE47" s="4"/>
      <c r="AG47" s="4"/>
    </row>
    <row r="48" spans="1:33">
      <c r="A48" s="14" t="s">
        <v>86</v>
      </c>
      <c r="B48" s="14" t="s">
        <v>87</v>
      </c>
      <c r="C48" s="638">
        <v>0</v>
      </c>
      <c r="D48" s="620"/>
      <c r="E48" s="622">
        <f t="shared" si="9"/>
        <v>0</v>
      </c>
      <c r="F48" s="337">
        <v>0</v>
      </c>
      <c r="G48" s="306"/>
      <c r="H48" s="308">
        <f t="shared" si="11"/>
        <v>0</v>
      </c>
      <c r="I48" s="339">
        <v>0</v>
      </c>
      <c r="J48" s="195"/>
      <c r="K48" s="198">
        <f t="shared" si="24"/>
        <v>0</v>
      </c>
      <c r="L48" s="341">
        <v>0</v>
      </c>
      <c r="M48" s="203"/>
      <c r="N48" s="206">
        <f t="shared" si="21"/>
        <v>0</v>
      </c>
      <c r="O48" s="344">
        <v>0</v>
      </c>
      <c r="P48" s="212"/>
      <c r="Q48" s="215">
        <f t="shared" si="22"/>
        <v>0</v>
      </c>
      <c r="R48" s="346">
        <v>0</v>
      </c>
      <c r="S48" s="220"/>
      <c r="T48" s="223">
        <f t="shared" si="23"/>
        <v>0</v>
      </c>
      <c r="U48" s="348">
        <v>0</v>
      </c>
      <c r="V48" s="228"/>
      <c r="W48" s="231">
        <f t="shared" si="20"/>
        <v>0</v>
      </c>
      <c r="X48" s="351">
        <v>0</v>
      </c>
      <c r="Y48" s="237">
        <v>100</v>
      </c>
      <c r="Z48" s="238">
        <f t="shared" si="8"/>
        <v>0</v>
      </c>
      <c r="AA48" s="38"/>
      <c r="AC48" s="4"/>
      <c r="AE48" s="4"/>
      <c r="AG48" s="4"/>
    </row>
    <row r="49" spans="1:33">
      <c r="A49" s="14" t="s">
        <v>88</v>
      </c>
      <c r="B49" s="14" t="s">
        <v>89</v>
      </c>
      <c r="C49" s="637">
        <v>21404</v>
      </c>
      <c r="D49" s="620">
        <f t="shared" si="0"/>
        <v>211.60652496292633</v>
      </c>
      <c r="E49" s="622">
        <f t="shared" si="9"/>
        <v>4.7915966623587663E-3</v>
      </c>
      <c r="F49" s="337">
        <v>11619</v>
      </c>
      <c r="G49" s="306">
        <f>(F$3/X49)*$Y49</f>
        <v>45297.409787444391</v>
      </c>
      <c r="H49" s="308">
        <f t="shared" si="11"/>
        <v>2.5358846557698633E-3</v>
      </c>
      <c r="I49" s="339">
        <v>9668</v>
      </c>
      <c r="J49" s="195">
        <f t="shared" si="1"/>
        <v>41520.761245674745</v>
      </c>
      <c r="K49" s="198">
        <f t="shared" si="24"/>
        <v>5.4522496733330969E-3</v>
      </c>
      <c r="L49" s="341">
        <v>5753</v>
      </c>
      <c r="M49" s="203">
        <f t="shared" si="2"/>
        <v>37114.542758279786</v>
      </c>
      <c r="N49" s="206">
        <f t="shared" si="21"/>
        <v>1.5324431507009869E-3</v>
      </c>
      <c r="O49" s="344">
        <v>7492</v>
      </c>
      <c r="P49" s="212">
        <f t="shared" si="3"/>
        <v>27925.210084033613</v>
      </c>
      <c r="Q49" s="215">
        <f t="shared" si="22"/>
        <v>2.6523780948688944E-3</v>
      </c>
      <c r="R49" s="346">
        <v>8344</v>
      </c>
      <c r="S49" s="220">
        <f t="shared" si="5"/>
        <v>19232.852199703411</v>
      </c>
      <c r="T49" s="223">
        <f t="shared" si="23"/>
        <v>4.2890856033428546E-3</v>
      </c>
      <c r="U49" s="348">
        <v>9346</v>
      </c>
      <c r="V49" s="228">
        <f t="shared" si="7"/>
        <v>92.397429560059322</v>
      </c>
      <c r="W49" s="231">
        <f t="shared" si="20"/>
        <v>5.2226032659990424E-3</v>
      </c>
      <c r="X49" s="351">
        <v>10115</v>
      </c>
      <c r="Y49" s="237">
        <v>100</v>
      </c>
      <c r="Z49" s="238">
        <f t="shared" si="8"/>
        <v>5.8338077087006501E-3</v>
      </c>
      <c r="AA49" s="38"/>
      <c r="AC49" s="4"/>
      <c r="AE49" s="4"/>
      <c r="AG49" s="4"/>
    </row>
    <row r="50" spans="1:33">
      <c r="A50" s="14" t="s">
        <v>90</v>
      </c>
      <c r="B50" s="14" t="s">
        <v>91</v>
      </c>
      <c r="C50" s="637">
        <v>81978</v>
      </c>
      <c r="D50" s="620">
        <f t="shared" si="0"/>
        <v>1608.6734693877552</v>
      </c>
      <c r="E50" s="622">
        <f t="shared" si="9"/>
        <v>1.8351967444722807E-2</v>
      </c>
      <c r="F50" s="337">
        <v>22024</v>
      </c>
      <c r="G50" s="306">
        <f>(F$3/X50)*$Y50</f>
        <v>89910.380690737831</v>
      </c>
      <c r="H50" s="308">
        <f t="shared" si="11"/>
        <v>4.8068098509919501E-3</v>
      </c>
      <c r="I50" s="339">
        <v>23967</v>
      </c>
      <c r="J50" s="195">
        <f t="shared" si="1"/>
        <v>82414.148351648357</v>
      </c>
      <c r="K50" s="198">
        <f t="shared" si="24"/>
        <v>1.3516142730737932E-2</v>
      </c>
      <c r="L50" s="341">
        <v>32751</v>
      </c>
      <c r="M50" s="203">
        <f t="shared" si="2"/>
        <v>73668.288854003142</v>
      </c>
      <c r="N50" s="206">
        <f t="shared" si="21"/>
        <v>8.7239780338272243E-3</v>
      </c>
      <c r="O50" s="344">
        <v>59942</v>
      </c>
      <c r="P50" s="212">
        <f t="shared" si="3"/>
        <v>55428.473312401889</v>
      </c>
      <c r="Q50" s="215">
        <f t="shared" si="22"/>
        <v>2.1221148927206526E-2</v>
      </c>
      <c r="R50" s="346">
        <v>22309</v>
      </c>
      <c r="S50" s="220">
        <f t="shared" si="5"/>
        <v>38175.098116169545</v>
      </c>
      <c r="T50" s="223">
        <f t="shared" si="23"/>
        <v>1.1467546827058455E-2</v>
      </c>
      <c r="U50" s="348">
        <v>13874</v>
      </c>
      <c r="V50" s="228">
        <f t="shared" si="7"/>
        <v>272.25274725274727</v>
      </c>
      <c r="W50" s="231">
        <f t="shared" si="20"/>
        <v>7.7528779919185439E-3</v>
      </c>
      <c r="X50" s="351">
        <v>5096</v>
      </c>
      <c r="Y50" s="237">
        <v>100</v>
      </c>
      <c r="Z50" s="238">
        <f t="shared" si="8"/>
        <v>2.9391086587779052E-3</v>
      </c>
      <c r="AA50" s="38"/>
      <c r="AC50" s="4"/>
      <c r="AE50" s="4"/>
      <c r="AG50" s="4"/>
    </row>
    <row r="51" spans="1:33">
      <c r="A51" s="14" t="s">
        <v>92</v>
      </c>
      <c r="B51" s="14" t="s">
        <v>93</v>
      </c>
      <c r="C51" s="637">
        <v>81978</v>
      </c>
      <c r="D51" s="620"/>
      <c r="E51" s="622">
        <f t="shared" si="9"/>
        <v>1.8351967444722807E-2</v>
      </c>
      <c r="F51" s="337">
        <v>17682</v>
      </c>
      <c r="G51" s="306"/>
      <c r="H51" s="308">
        <f t="shared" si="11"/>
        <v>3.8591541856719787E-3</v>
      </c>
      <c r="I51" s="339">
        <v>0</v>
      </c>
      <c r="J51" s="195"/>
      <c r="K51" s="198">
        <f t="shared" si="24"/>
        <v>0</v>
      </c>
      <c r="L51" s="341">
        <v>0</v>
      </c>
      <c r="M51" s="203"/>
      <c r="N51" s="206">
        <f t="shared" si="21"/>
        <v>0</v>
      </c>
      <c r="O51" s="344">
        <v>8727</v>
      </c>
      <c r="P51" s="212"/>
      <c r="Q51" s="215">
        <f t="shared" si="22"/>
        <v>3.0896027274320398E-3</v>
      </c>
      <c r="R51" s="346">
        <v>14584</v>
      </c>
      <c r="S51" s="220"/>
      <c r="T51" s="223">
        <f t="shared" si="23"/>
        <v>7.4966472242512221E-3</v>
      </c>
      <c r="U51" s="348">
        <v>242</v>
      </c>
      <c r="V51" s="228"/>
      <c r="W51" s="231">
        <f t="shared" si="20"/>
        <v>1.3523111388527372E-4</v>
      </c>
      <c r="X51" s="351">
        <v>0</v>
      </c>
      <c r="Y51" s="237">
        <v>100</v>
      </c>
      <c r="Z51" s="238">
        <f t="shared" si="8"/>
        <v>0</v>
      </c>
      <c r="AA51" s="38"/>
      <c r="AC51" s="4"/>
      <c r="AE51" s="4"/>
      <c r="AG51" s="4"/>
    </row>
    <row r="52" spans="1:33">
      <c r="A52" s="14" t="s">
        <v>94</v>
      </c>
      <c r="B52" s="14" t="s">
        <v>95</v>
      </c>
      <c r="C52" s="637">
        <v>12455</v>
      </c>
      <c r="D52" s="620"/>
      <c r="E52" s="622">
        <f t="shared" si="9"/>
        <v>2.7882328737468902E-3</v>
      </c>
      <c r="F52" s="337">
        <v>0</v>
      </c>
      <c r="G52" s="306"/>
      <c r="H52" s="308">
        <f t="shared" si="11"/>
        <v>0</v>
      </c>
      <c r="I52" s="339">
        <v>0</v>
      </c>
      <c r="J52" s="195"/>
      <c r="K52" s="198">
        <f t="shared" si="24"/>
        <v>0</v>
      </c>
      <c r="L52" s="341">
        <v>0</v>
      </c>
      <c r="M52" s="203"/>
      <c r="N52" s="206">
        <f t="shared" si="21"/>
        <v>0</v>
      </c>
      <c r="O52" s="344">
        <v>0</v>
      </c>
      <c r="P52" s="212"/>
      <c r="Q52" s="215">
        <f t="shared" si="22"/>
        <v>0</v>
      </c>
      <c r="R52" s="346">
        <v>0</v>
      </c>
      <c r="S52" s="220"/>
      <c r="T52" s="223">
        <f t="shared" si="23"/>
        <v>0</v>
      </c>
      <c r="U52" s="348">
        <v>0</v>
      </c>
      <c r="V52" s="228"/>
      <c r="W52" s="231">
        <f t="shared" si="20"/>
        <v>0</v>
      </c>
      <c r="X52" s="351">
        <v>0</v>
      </c>
      <c r="Y52" s="237">
        <v>100</v>
      </c>
      <c r="Z52" s="238">
        <f t="shared" si="8"/>
        <v>0</v>
      </c>
      <c r="AA52" s="38"/>
      <c r="AC52" s="4"/>
      <c r="AE52" s="4"/>
      <c r="AG52" s="4"/>
    </row>
    <row r="53" spans="1:33">
      <c r="A53" s="17" t="s">
        <v>96</v>
      </c>
      <c r="B53" s="17" t="s">
        <v>97</v>
      </c>
      <c r="C53" s="639">
        <v>1317764</v>
      </c>
      <c r="D53" s="620">
        <f t="shared" si="0"/>
        <v>963.96833989261313</v>
      </c>
      <c r="E53" s="622">
        <f t="shared" si="9"/>
        <v>0.29500063465597726</v>
      </c>
      <c r="F53" s="385">
        <v>1051141</v>
      </c>
      <c r="G53" s="306">
        <f>(F$3/X53)*$Y53</f>
        <v>3351.6941961346583</v>
      </c>
      <c r="H53" s="308">
        <f t="shared" si="11"/>
        <v>0.22941495248735605</v>
      </c>
      <c r="I53" s="379">
        <v>1020292</v>
      </c>
      <c r="J53" s="195">
        <f t="shared" si="1"/>
        <v>3072.2483943175666</v>
      </c>
      <c r="K53" s="200">
        <f t="shared" si="24"/>
        <v>0.57539167601410546</v>
      </c>
      <c r="L53" s="372">
        <v>634824</v>
      </c>
      <c r="M53" s="203">
        <f t="shared" si="2"/>
        <v>2746.2187824611201</v>
      </c>
      <c r="N53" s="207">
        <f>$L53/$L$34</f>
        <v>0.16909989409014484</v>
      </c>
      <c r="O53" s="366">
        <v>420565</v>
      </c>
      <c r="P53" s="212">
        <f t="shared" si="3"/>
        <v>2066.2718906819214</v>
      </c>
      <c r="Q53" s="216">
        <f t="shared" si="22"/>
        <v>0.14889180371977265</v>
      </c>
      <c r="R53" s="360">
        <v>231568</v>
      </c>
      <c r="S53" s="220">
        <f t="shared" si="5"/>
        <v>1423.0976869394742</v>
      </c>
      <c r="T53" s="224">
        <f t="shared" si="23"/>
        <v>0.11903343420360717</v>
      </c>
      <c r="U53" s="355">
        <v>167735</v>
      </c>
      <c r="V53" s="228">
        <f t="shared" si="7"/>
        <v>122.70120407894545</v>
      </c>
      <c r="W53" s="232">
        <f t="shared" si="20"/>
        <v>9.3731367303910698E-2</v>
      </c>
      <c r="X53" s="351">
        <v>136702</v>
      </c>
      <c r="Y53" s="237">
        <v>100</v>
      </c>
      <c r="Z53" s="238">
        <f t="shared" si="8"/>
        <v>7.8842627918417812E-2</v>
      </c>
      <c r="AA53" s="4"/>
      <c r="AC53" s="4"/>
      <c r="AE53" s="4"/>
      <c r="AG53" s="4"/>
    </row>
    <row r="54" spans="1:33">
      <c r="A54" s="14" t="s">
        <v>98</v>
      </c>
      <c r="B54" s="14" t="s">
        <v>80</v>
      </c>
      <c r="C54" s="637">
        <v>941744</v>
      </c>
      <c r="D54" s="620">
        <f t="shared" si="0"/>
        <v>1028.0823562804305</v>
      </c>
      <c r="E54" s="622">
        <f t="shared" si="9"/>
        <v>0.21082308947843367</v>
      </c>
      <c r="F54" s="337">
        <v>690894</v>
      </c>
      <c r="G54" s="306">
        <f>(F$3/X54)*$Y54</f>
        <v>5001.8918800899537</v>
      </c>
      <c r="H54" s="308">
        <f t="shared" si="11"/>
        <v>0.15078986946927136</v>
      </c>
      <c r="I54" s="339">
        <v>876281</v>
      </c>
      <c r="J54" s="195">
        <f t="shared" si="1"/>
        <v>4584.8616842427018</v>
      </c>
      <c r="K54" s="197">
        <f>$I54/$I$35</f>
        <v>0.49417695448882903</v>
      </c>
      <c r="L54" s="341">
        <v>500406</v>
      </c>
      <c r="M54" s="203">
        <f t="shared" si="2"/>
        <v>4098.3122639243684</v>
      </c>
      <c r="N54" s="206">
        <f>$L54/$L$34</f>
        <v>0.13329458495909577</v>
      </c>
      <c r="O54" s="344">
        <v>301561</v>
      </c>
      <c r="P54" s="212">
        <f t="shared" si="3"/>
        <v>3083.5953363463682</v>
      </c>
      <c r="Q54" s="215">
        <f t="shared" si="22"/>
        <v>0.1067610505428135</v>
      </c>
      <c r="R54" s="346">
        <v>110396</v>
      </c>
      <c r="S54" s="220">
        <f t="shared" si="5"/>
        <v>2123.756031527696</v>
      </c>
      <c r="T54" s="223">
        <f t="shared" si="23"/>
        <v>5.6747111009903858E-2</v>
      </c>
      <c r="U54" s="348">
        <v>90801</v>
      </c>
      <c r="V54" s="228">
        <f t="shared" si="7"/>
        <v>99.125564943996864</v>
      </c>
      <c r="W54" s="231">
        <f t="shared" si="20"/>
        <v>5.0740166826019582E-2</v>
      </c>
      <c r="X54" s="351">
        <v>91602</v>
      </c>
      <c r="Y54" s="237">
        <v>100</v>
      </c>
      <c r="Z54" s="238">
        <f t="shared" si="8"/>
        <v>5.2831285588966576E-2</v>
      </c>
      <c r="AA54" s="4"/>
      <c r="AC54" s="4"/>
      <c r="AE54" s="4"/>
      <c r="AG54" s="4"/>
    </row>
    <row r="55" spans="1:33">
      <c r="A55" s="14" t="s">
        <v>99</v>
      </c>
      <c r="B55" s="14" t="s">
        <v>82</v>
      </c>
      <c r="C55" s="637">
        <v>72020</v>
      </c>
      <c r="D55" s="620">
        <f t="shared" si="0"/>
        <v>2579.5128939828078</v>
      </c>
      <c r="E55" s="622">
        <f t="shared" si="9"/>
        <v>1.6122724332978806E-2</v>
      </c>
      <c r="F55" s="337">
        <v>221553</v>
      </c>
      <c r="G55" s="306">
        <f>(F$3/X55)*$Y55</f>
        <v>164105.76647564469</v>
      </c>
      <c r="H55" s="308">
        <f t="shared" si="11"/>
        <v>4.8354665043444406E-2</v>
      </c>
      <c r="I55" s="339">
        <v>30916</v>
      </c>
      <c r="J55" s="195">
        <f t="shared" si="1"/>
        <v>150423.53151862466</v>
      </c>
      <c r="K55" s="198">
        <f t="shared" si="24"/>
        <v>1.7435017676951388E-2</v>
      </c>
      <c r="L55" s="341">
        <v>47969</v>
      </c>
      <c r="M55" s="203">
        <f t="shared" si="2"/>
        <v>134460.45845272206</v>
      </c>
      <c r="N55" s="206">
        <f>$L55/$L$34</f>
        <v>1.2777640447762148E-2</v>
      </c>
      <c r="O55" s="344">
        <v>65201</v>
      </c>
      <c r="P55" s="212">
        <f t="shared" si="3"/>
        <v>101168.87535816619</v>
      </c>
      <c r="Q55" s="215">
        <f t="shared" si="22"/>
        <v>2.3082982403036145E-2</v>
      </c>
      <c r="R55" s="346">
        <v>71250</v>
      </c>
      <c r="S55" s="220">
        <f t="shared" si="5"/>
        <v>69677.757879656157</v>
      </c>
      <c r="T55" s="223">
        <f t="shared" si="23"/>
        <v>3.6624802161814289E-2</v>
      </c>
      <c r="U55" s="348">
        <v>29953</v>
      </c>
      <c r="V55" s="228">
        <f t="shared" si="7"/>
        <v>1072.8151862464183</v>
      </c>
      <c r="W55" s="231">
        <f t="shared" si="20"/>
        <v>1.6737923777709107E-2</v>
      </c>
      <c r="X55" s="351">
        <v>2792</v>
      </c>
      <c r="Y55" s="237">
        <v>100</v>
      </c>
      <c r="Z55" s="238">
        <f t="shared" si="8"/>
        <v>1.6102808821247864E-3</v>
      </c>
      <c r="AA55" s="4"/>
      <c r="AC55" s="4"/>
      <c r="AE55" s="4"/>
      <c r="AG55" s="4"/>
    </row>
    <row r="56" spans="1:33">
      <c r="A56" s="14" t="s">
        <v>100</v>
      </c>
      <c r="B56" s="14" t="s">
        <v>24</v>
      </c>
      <c r="C56" s="637">
        <v>72020</v>
      </c>
      <c r="D56" s="620">
        <f t="shared" si="0"/>
        <v>2579.5128939828078</v>
      </c>
      <c r="E56" s="622">
        <f t="shared" si="9"/>
        <v>1.6122724332978806E-2</v>
      </c>
      <c r="F56" s="337">
        <v>221553</v>
      </c>
      <c r="G56" s="306">
        <f>(F$3/X56)*$Y56</f>
        <v>164105.76647564469</v>
      </c>
      <c r="H56" s="308">
        <f t="shared" si="11"/>
        <v>4.8354665043444406E-2</v>
      </c>
      <c r="I56" s="339">
        <v>29026</v>
      </c>
      <c r="J56" s="195">
        <f t="shared" si="1"/>
        <v>150423.53151862466</v>
      </c>
      <c r="K56" s="198">
        <f t="shared" si="24"/>
        <v>1.6369155876930747E-2</v>
      </c>
      <c r="L56" s="341">
        <v>44529</v>
      </c>
      <c r="M56" s="203">
        <f t="shared" si="2"/>
        <v>134460.45845272206</v>
      </c>
      <c r="N56" s="206">
        <f>$L56/$L$34</f>
        <v>1.186131775726825E-2</v>
      </c>
      <c r="O56" s="344">
        <v>60808</v>
      </c>
      <c r="P56" s="212">
        <f t="shared" si="3"/>
        <v>101168.87535816619</v>
      </c>
      <c r="Q56" s="215">
        <f t="shared" si="22"/>
        <v>2.1527737212064569E-2</v>
      </c>
      <c r="R56" s="346">
        <v>65307</v>
      </c>
      <c r="S56" s="220">
        <f t="shared" si="5"/>
        <v>69677.757879656157</v>
      </c>
      <c r="T56" s="223">
        <f t="shared" si="23"/>
        <v>3.3569908137285692E-2</v>
      </c>
      <c r="U56" s="348">
        <v>29953</v>
      </c>
      <c r="V56" s="228">
        <f t="shared" si="7"/>
        <v>1072.8151862464183</v>
      </c>
      <c r="W56" s="231">
        <f t="shared" si="20"/>
        <v>1.6737923777709107E-2</v>
      </c>
      <c r="X56" s="351">
        <v>2792</v>
      </c>
      <c r="Y56" s="237">
        <v>100</v>
      </c>
      <c r="Z56" s="238">
        <f t="shared" si="8"/>
        <v>1.6102808821247864E-3</v>
      </c>
      <c r="AA56" s="4"/>
      <c r="AC56" s="4"/>
      <c r="AE56" s="4"/>
      <c r="AG56" s="4"/>
    </row>
    <row r="57" spans="1:33">
      <c r="A57" s="14" t="s">
        <v>101</v>
      </c>
      <c r="B57" s="14" t="s">
        <v>78</v>
      </c>
      <c r="C57" s="638">
        <v>0</v>
      </c>
      <c r="D57" s="620"/>
      <c r="E57" s="622">
        <f t="shared" si="9"/>
        <v>0</v>
      </c>
      <c r="F57" s="337">
        <v>0</v>
      </c>
      <c r="G57" s="306"/>
      <c r="H57" s="308">
        <f t="shared" si="11"/>
        <v>0</v>
      </c>
      <c r="I57" s="339">
        <v>0</v>
      </c>
      <c r="J57" s="195"/>
      <c r="K57" s="198">
        <f t="shared" si="24"/>
        <v>0</v>
      </c>
      <c r="L57" s="341">
        <v>0</v>
      </c>
      <c r="M57" s="203"/>
      <c r="N57" s="206">
        <f>$L57/$L$34</f>
        <v>0</v>
      </c>
      <c r="O57" s="344">
        <v>0</v>
      </c>
      <c r="P57" s="212"/>
      <c r="Q57" s="215">
        <f t="shared" si="22"/>
        <v>0</v>
      </c>
      <c r="R57" s="346">
        <v>0</v>
      </c>
      <c r="S57" s="220"/>
      <c r="T57" s="223">
        <f t="shared" si="23"/>
        <v>0</v>
      </c>
      <c r="U57" s="348">
        <v>0</v>
      </c>
      <c r="V57" s="228"/>
      <c r="W57" s="231">
        <f t="shared" si="20"/>
        <v>0</v>
      </c>
      <c r="X57" s="351">
        <v>0</v>
      </c>
      <c r="Y57" s="237">
        <v>100</v>
      </c>
      <c r="Z57" s="238">
        <f t="shared" si="8"/>
        <v>0</v>
      </c>
      <c r="AA57" s="4"/>
      <c r="AC57" s="4"/>
      <c r="AE57" s="4"/>
      <c r="AG57" s="4"/>
    </row>
    <row r="58" spans="1:33">
      <c r="A58" s="14" t="s">
        <v>102</v>
      </c>
      <c r="B58" s="14" t="s">
        <v>103</v>
      </c>
      <c r="C58" s="637">
        <v>9286</v>
      </c>
      <c r="D58" s="620"/>
      <c r="E58" s="622">
        <f t="shared" si="9"/>
        <v>2.0788061393507526E-3</v>
      </c>
      <c r="F58" s="337">
        <v>23137</v>
      </c>
      <c r="G58" s="306"/>
      <c r="H58" s="308">
        <f t="shared" si="11"/>
        <v>5.0497257320378111E-3</v>
      </c>
      <c r="I58" s="339">
        <v>18125</v>
      </c>
      <c r="J58" s="195"/>
      <c r="K58" s="198">
        <f t="shared" si="24"/>
        <v>1.0221558267393708E-2</v>
      </c>
      <c r="L58" s="341">
        <v>26525</v>
      </c>
      <c r="M58" s="203"/>
      <c r="N58" s="206">
        <f t="shared" ref="N58:N74" si="25">$L58/$L$34</f>
        <v>7.0655405131833261E-3</v>
      </c>
      <c r="O58" s="344">
        <v>31839</v>
      </c>
      <c r="P58" s="212"/>
      <c r="Q58" s="215">
        <f t="shared" si="22"/>
        <v>1.127189884710768E-2</v>
      </c>
      <c r="R58" s="346">
        <v>35713</v>
      </c>
      <c r="S58" s="220"/>
      <c r="T58" s="223">
        <f t="shared" si="23"/>
        <v>1.8357635924278928E-2</v>
      </c>
      <c r="U58" s="348">
        <v>0</v>
      </c>
      <c r="V58" s="228"/>
      <c r="W58" s="231">
        <f t="shared" si="20"/>
        <v>0</v>
      </c>
      <c r="X58" s="351">
        <v>0</v>
      </c>
      <c r="Y58" s="237">
        <v>100</v>
      </c>
      <c r="Z58" s="238">
        <f t="shared" si="8"/>
        <v>0</v>
      </c>
      <c r="AA58" s="4"/>
      <c r="AC58" s="4"/>
      <c r="AE58" s="4"/>
      <c r="AG58" s="4"/>
    </row>
    <row r="59" spans="1:33">
      <c r="A59" s="14" t="s">
        <v>104</v>
      </c>
      <c r="B59" s="14" t="s">
        <v>91</v>
      </c>
      <c r="C59" s="637">
        <v>22731</v>
      </c>
      <c r="D59" s="620">
        <f t="shared" si="0"/>
        <v>974.32490355765117</v>
      </c>
      <c r="E59" s="622">
        <f t="shared" si="9"/>
        <v>5.0886649099269824E-3</v>
      </c>
      <c r="F59" s="337">
        <v>15895</v>
      </c>
      <c r="G59" s="306">
        <f>(F$3/X59)*$Y59</f>
        <v>196392.32747535361</v>
      </c>
      <c r="H59" s="308">
        <f t="shared" si="11"/>
        <v>3.4691356057717513E-3</v>
      </c>
      <c r="I59" s="339">
        <v>10426</v>
      </c>
      <c r="J59" s="195">
        <f t="shared" si="1"/>
        <v>180018.21688812689</v>
      </c>
      <c r="K59" s="198">
        <f t="shared" si="24"/>
        <v>5.8797222894260304E-3</v>
      </c>
      <c r="L59" s="341">
        <v>17529</v>
      </c>
      <c r="M59" s="203">
        <f t="shared" si="2"/>
        <v>160914.53064723531</v>
      </c>
      <c r="N59" s="206">
        <f t="shared" si="25"/>
        <v>4.6692501283917259E-3</v>
      </c>
      <c r="O59" s="344">
        <v>28512</v>
      </c>
      <c r="P59" s="212">
        <f t="shared" si="3"/>
        <v>121073.0818688384</v>
      </c>
      <c r="Q59" s="215">
        <f t="shared" si="22"/>
        <v>1.0094047549506397E-2</v>
      </c>
      <c r="R59" s="346">
        <v>29135</v>
      </c>
      <c r="S59" s="220">
        <f t="shared" si="5"/>
        <v>83386.326618088293</v>
      </c>
      <c r="T59" s="223">
        <f t="shared" si="23"/>
        <v>1.4976331382238025E-2</v>
      </c>
      <c r="U59" s="348">
        <v>23993</v>
      </c>
      <c r="V59" s="228">
        <f t="shared" si="7"/>
        <v>1028.4183454779254</v>
      </c>
      <c r="W59" s="231">
        <f t="shared" si="20"/>
        <v>1.3407438493592449E-2</v>
      </c>
      <c r="X59" s="351">
        <v>2333</v>
      </c>
      <c r="Y59" s="237">
        <v>100</v>
      </c>
      <c r="Z59" s="238">
        <f t="shared" si="8"/>
        <v>1.3455534734946729E-3</v>
      </c>
      <c r="AA59" s="4"/>
      <c r="AC59" s="4"/>
      <c r="AE59" s="4"/>
      <c r="AG59" s="4"/>
    </row>
    <row r="60" spans="1:33">
      <c r="A60" s="14" t="s">
        <v>105</v>
      </c>
      <c r="B60" s="14" t="s">
        <v>37</v>
      </c>
      <c r="C60" s="637">
        <v>18150</v>
      </c>
      <c r="D60" s="620"/>
      <c r="E60" s="622">
        <f t="shared" si="9"/>
        <v>4.0631414418712212E-3</v>
      </c>
      <c r="F60" s="337">
        <v>4666</v>
      </c>
      <c r="G60" s="306"/>
      <c r="H60" s="308">
        <f t="shared" si="11"/>
        <v>1.018369722336017E-3</v>
      </c>
      <c r="I60" s="339">
        <v>492</v>
      </c>
      <c r="J60" s="195"/>
      <c r="K60" s="198">
        <f t="shared" si="24"/>
        <v>2.7746243683076993E-4</v>
      </c>
      <c r="L60" s="341">
        <v>654</v>
      </c>
      <c r="M60" s="203"/>
      <c r="N60" s="206">
        <f t="shared" si="25"/>
        <v>1.7420786034389805E-4</v>
      </c>
      <c r="O60" s="344">
        <v>0</v>
      </c>
      <c r="P60" s="212"/>
      <c r="Q60" s="215">
        <f t="shared" si="22"/>
        <v>0</v>
      </c>
      <c r="R60" s="346">
        <v>0</v>
      </c>
      <c r="S60" s="220"/>
      <c r="T60" s="223">
        <f t="shared" si="23"/>
        <v>0</v>
      </c>
      <c r="U60" s="348">
        <v>0</v>
      </c>
      <c r="V60" s="228"/>
      <c r="W60" s="231">
        <f t="shared" si="20"/>
        <v>0</v>
      </c>
      <c r="X60" s="351">
        <v>0</v>
      </c>
      <c r="Y60" s="237">
        <v>100</v>
      </c>
      <c r="Z60" s="238">
        <f t="shared" si="8"/>
        <v>0</v>
      </c>
      <c r="AA60" s="4"/>
      <c r="AC60" s="4"/>
      <c r="AE60" s="4"/>
      <c r="AG60" s="4"/>
    </row>
    <row r="61" spans="1:33">
      <c r="A61" s="14" t="s">
        <v>106</v>
      </c>
      <c r="B61" s="14" t="s">
        <v>107</v>
      </c>
      <c r="C61" s="637">
        <v>18150</v>
      </c>
      <c r="D61" s="620"/>
      <c r="E61" s="622">
        <f t="shared" si="9"/>
        <v>4.0631414418712212E-3</v>
      </c>
      <c r="F61" s="337">
        <v>4666</v>
      </c>
      <c r="G61" s="306"/>
      <c r="H61" s="308">
        <f t="shared" si="11"/>
        <v>1.018369722336017E-3</v>
      </c>
      <c r="I61" s="339">
        <v>492</v>
      </c>
      <c r="J61" s="195"/>
      <c r="K61" s="198">
        <f t="shared" si="24"/>
        <v>2.7746243683076993E-4</v>
      </c>
      <c r="L61" s="341">
        <v>654</v>
      </c>
      <c r="M61" s="203"/>
      <c r="N61" s="206">
        <f t="shared" si="25"/>
        <v>1.7420786034389805E-4</v>
      </c>
      <c r="O61" s="344">
        <v>0</v>
      </c>
      <c r="P61" s="212"/>
      <c r="Q61" s="215">
        <f t="shared" si="22"/>
        <v>0</v>
      </c>
      <c r="R61" s="346">
        <v>0</v>
      </c>
      <c r="S61" s="220"/>
      <c r="T61" s="223">
        <f t="shared" si="23"/>
        <v>0</v>
      </c>
      <c r="U61" s="348">
        <v>0</v>
      </c>
      <c r="V61" s="228"/>
      <c r="W61" s="231">
        <f t="shared" si="20"/>
        <v>0</v>
      </c>
      <c r="X61" s="351">
        <v>0</v>
      </c>
      <c r="Y61" s="237">
        <v>100</v>
      </c>
      <c r="Z61" s="238">
        <f t="shared" si="8"/>
        <v>0</v>
      </c>
      <c r="AA61" s="4"/>
      <c r="AC61" s="4"/>
      <c r="AE61" s="4"/>
      <c r="AG61" s="4"/>
    </row>
    <row r="62" spans="1:33">
      <c r="A62" s="14" t="s">
        <v>108</v>
      </c>
      <c r="B62" s="14" t="s">
        <v>109</v>
      </c>
      <c r="C62" s="637">
        <v>285850</v>
      </c>
      <c r="D62" s="620">
        <f t="shared" si="0"/>
        <v>675.64054079606694</v>
      </c>
      <c r="E62" s="622">
        <f t="shared" si="9"/>
        <v>6.3991679402693583E-2</v>
      </c>
      <c r="F62" s="337">
        <v>134028</v>
      </c>
      <c r="G62" s="306">
        <f>(F$3/X62)*$Y62</f>
        <v>10829.708329393969</v>
      </c>
      <c r="H62" s="308">
        <f t="shared" si="11"/>
        <v>2.9252048252304264E-2</v>
      </c>
      <c r="I62" s="339">
        <v>112603</v>
      </c>
      <c r="J62" s="195">
        <f t="shared" si="1"/>
        <v>9926.7868960953001</v>
      </c>
      <c r="K62" s="198">
        <f t="shared" si="24"/>
        <v>6.350224141149427E-2</v>
      </c>
      <c r="L62" s="341">
        <v>85795</v>
      </c>
      <c r="M62" s="203">
        <f t="shared" si="2"/>
        <v>8873.3478301975993</v>
      </c>
      <c r="N62" s="206">
        <f t="shared" si="25"/>
        <v>2.2853460822943015E-2</v>
      </c>
      <c r="O62" s="344">
        <v>53803</v>
      </c>
      <c r="P62" s="212">
        <f t="shared" si="3"/>
        <v>6676.3614446440388</v>
      </c>
      <c r="Q62" s="215">
        <f t="shared" si="22"/>
        <v>1.9047770773923004E-2</v>
      </c>
      <c r="R62" s="346">
        <v>49922</v>
      </c>
      <c r="S62" s="220">
        <f t="shared" si="5"/>
        <v>4598.1918313321357</v>
      </c>
      <c r="T62" s="223">
        <f t="shared" si="23"/>
        <v>2.5661521031889022E-2</v>
      </c>
      <c r="U62" s="348">
        <v>46981</v>
      </c>
      <c r="V62" s="228">
        <f t="shared" si="7"/>
        <v>111.04519239860073</v>
      </c>
      <c r="W62" s="231">
        <f t="shared" si="20"/>
        <v>2.6253276700182002E-2</v>
      </c>
      <c r="X62" s="351">
        <v>42308</v>
      </c>
      <c r="Y62" s="237">
        <v>100</v>
      </c>
      <c r="Z62" s="238">
        <f t="shared" si="8"/>
        <v>2.4401061447326455E-2</v>
      </c>
      <c r="AA62" s="4"/>
      <c r="AC62" s="4"/>
      <c r="AE62" s="4"/>
      <c r="AG62" s="4"/>
    </row>
    <row r="63" spans="1:33">
      <c r="A63" s="14" t="s">
        <v>110</v>
      </c>
      <c r="B63" s="14" t="s">
        <v>111</v>
      </c>
      <c r="C63" s="637">
        <v>206836</v>
      </c>
      <c r="D63" s="620">
        <f t="shared" si="0"/>
        <v>625.03324066239577</v>
      </c>
      <c r="E63" s="622">
        <f t="shared" si="9"/>
        <v>4.6303246461205282E-2</v>
      </c>
      <c r="F63" s="337">
        <v>48113</v>
      </c>
      <c r="G63" s="306">
        <f>(F$3/X63)*$Y63</f>
        <v>13845.742173334946</v>
      </c>
      <c r="H63" s="308">
        <f t="shared" si="11"/>
        <v>1.0500819213620401E-2</v>
      </c>
      <c r="I63" s="339">
        <v>48017</v>
      </c>
      <c r="J63" s="195">
        <f t="shared" si="1"/>
        <v>12691.360449655505</v>
      </c>
      <c r="K63" s="198">
        <f t="shared" si="24"/>
        <v>2.7079093148989996E-2</v>
      </c>
      <c r="L63" s="341">
        <v>39584</v>
      </c>
      <c r="M63" s="203">
        <f t="shared" si="2"/>
        <v>11344.542487610299</v>
      </c>
      <c r="N63" s="206">
        <f t="shared" si="25"/>
        <v>1.0544103889683272E-2</v>
      </c>
      <c r="O63" s="344">
        <v>34497</v>
      </c>
      <c r="P63" s="212">
        <f t="shared" si="3"/>
        <v>8535.7034932914303</v>
      </c>
      <c r="Q63" s="215">
        <f t="shared" si="22"/>
        <v>1.2212905384235485E-2</v>
      </c>
      <c r="R63" s="346">
        <v>30600</v>
      </c>
      <c r="S63" s="220">
        <f t="shared" si="5"/>
        <v>5878.7713042427167</v>
      </c>
      <c r="T63" s="223">
        <f t="shared" si="23"/>
        <v>1.5729388717916029E-2</v>
      </c>
      <c r="U63" s="348">
        <v>32921</v>
      </c>
      <c r="V63" s="228">
        <f t="shared" si="7"/>
        <v>99.483258793666138</v>
      </c>
      <c r="W63" s="231">
        <f t="shared" si="20"/>
        <v>1.8396460744698744E-2</v>
      </c>
      <c r="X63" s="351">
        <v>33092</v>
      </c>
      <c r="Y63" s="237">
        <v>100</v>
      </c>
      <c r="Z63" s="238">
        <f t="shared" si="8"/>
        <v>1.908575034071398E-2</v>
      </c>
      <c r="AA63" s="4"/>
      <c r="AC63" s="4"/>
      <c r="AE63" s="4"/>
      <c r="AG63" s="4"/>
    </row>
    <row r="64" spans="1:33">
      <c r="A64" s="14" t="s">
        <v>112</v>
      </c>
      <c r="B64" s="14" t="s">
        <v>113</v>
      </c>
      <c r="C64" s="638">
        <v>0</v>
      </c>
      <c r="D64" s="620"/>
      <c r="E64" s="622">
        <f t="shared" si="9"/>
        <v>0</v>
      </c>
      <c r="F64" s="337">
        <v>0</v>
      </c>
      <c r="G64" s="306"/>
      <c r="H64" s="308">
        <f t="shared" si="11"/>
        <v>0</v>
      </c>
      <c r="I64" s="339">
        <v>0</v>
      </c>
      <c r="J64" s="195"/>
      <c r="K64" s="198">
        <f t="shared" si="24"/>
        <v>0</v>
      </c>
      <c r="L64" s="341">
        <v>0</v>
      </c>
      <c r="M64" s="203"/>
      <c r="N64" s="206">
        <f t="shared" si="25"/>
        <v>0</v>
      </c>
      <c r="O64" s="344">
        <v>0</v>
      </c>
      <c r="P64" s="212"/>
      <c r="Q64" s="215">
        <f t="shared" si="22"/>
        <v>0</v>
      </c>
      <c r="R64" s="346">
        <v>0</v>
      </c>
      <c r="S64" s="220"/>
      <c r="T64" s="223">
        <f t="shared" si="23"/>
        <v>0</v>
      </c>
      <c r="U64" s="348">
        <v>0</v>
      </c>
      <c r="V64" s="228"/>
      <c r="W64" s="231">
        <f t="shared" si="20"/>
        <v>0</v>
      </c>
      <c r="X64" s="351">
        <v>0</v>
      </c>
      <c r="Y64" s="237">
        <v>100</v>
      </c>
      <c r="Z64" s="238">
        <f t="shared" si="8"/>
        <v>0</v>
      </c>
      <c r="AA64" s="4"/>
      <c r="AC64" s="4"/>
      <c r="AE64" s="4"/>
      <c r="AG64" s="4"/>
    </row>
    <row r="65" spans="1:33">
      <c r="A65" s="14" t="s">
        <v>114</v>
      </c>
      <c r="B65" s="14" t="s">
        <v>115</v>
      </c>
      <c r="C65" s="638">
        <v>0</v>
      </c>
      <c r="D65" s="620"/>
      <c r="E65" s="622">
        <f t="shared" si="9"/>
        <v>0</v>
      </c>
      <c r="F65" s="337">
        <v>0</v>
      </c>
      <c r="G65" s="306"/>
      <c r="H65" s="308">
        <f t="shared" si="11"/>
        <v>0</v>
      </c>
      <c r="I65" s="339">
        <v>0</v>
      </c>
      <c r="J65" s="195"/>
      <c r="K65" s="198">
        <f t="shared" si="24"/>
        <v>0</v>
      </c>
      <c r="L65" s="341">
        <v>0</v>
      </c>
      <c r="M65" s="203"/>
      <c r="N65" s="206">
        <f t="shared" si="25"/>
        <v>0</v>
      </c>
      <c r="O65" s="344">
        <v>0</v>
      </c>
      <c r="P65" s="212"/>
      <c r="Q65" s="215">
        <f t="shared" si="22"/>
        <v>0</v>
      </c>
      <c r="R65" s="346">
        <v>0</v>
      </c>
      <c r="S65" s="220"/>
      <c r="T65" s="223">
        <f t="shared" si="23"/>
        <v>0</v>
      </c>
      <c r="U65" s="348">
        <v>0</v>
      </c>
      <c r="V65" s="228"/>
      <c r="W65" s="231">
        <f t="shared" si="20"/>
        <v>0</v>
      </c>
      <c r="X65" s="351">
        <v>0</v>
      </c>
      <c r="Y65" s="237">
        <v>100</v>
      </c>
      <c r="Z65" s="238">
        <f t="shared" si="8"/>
        <v>0</v>
      </c>
      <c r="AA65" s="4"/>
      <c r="AC65" s="4"/>
      <c r="AE65" s="4"/>
      <c r="AG65" s="4"/>
    </row>
    <row r="66" spans="1:33">
      <c r="A66" s="17" t="s">
        <v>116</v>
      </c>
      <c r="B66" s="17" t="s">
        <v>117</v>
      </c>
      <c r="C66" s="639">
        <v>1646121</v>
      </c>
      <c r="D66" s="620">
        <f t="shared" si="0"/>
        <v>325.07943717600591</v>
      </c>
      <c r="E66" s="622">
        <f t="shared" si="9"/>
        <v>0.36850812415617057</v>
      </c>
      <c r="F66" s="385">
        <v>1596427</v>
      </c>
      <c r="G66" s="306">
        <f>(F$3/X66)*$Y66</f>
        <v>904.83001727968406</v>
      </c>
      <c r="H66" s="308">
        <f t="shared" si="11"/>
        <v>0.34842540092578667</v>
      </c>
      <c r="I66" s="379">
        <v>1406320</v>
      </c>
      <c r="J66" s="195">
        <f t="shared" si="1"/>
        <v>829.39027400641817</v>
      </c>
      <c r="K66" s="200">
        <f t="shared" si="24"/>
        <v>0.79309141090213076</v>
      </c>
      <c r="L66" s="372">
        <v>1181661</v>
      </c>
      <c r="M66" s="203">
        <f t="shared" si="2"/>
        <v>741.37467292026656</v>
      </c>
      <c r="N66" s="207">
        <f t="shared" si="25"/>
        <v>0.31476243801503195</v>
      </c>
      <c r="O66" s="366">
        <v>1033138</v>
      </c>
      <c r="P66" s="212">
        <f t="shared" si="3"/>
        <v>557.8148605282646</v>
      </c>
      <c r="Q66" s="216">
        <f t="shared" si="22"/>
        <v>0.36575982383564604</v>
      </c>
      <c r="R66" s="360">
        <v>534894</v>
      </c>
      <c r="S66" s="220">
        <f t="shared" si="5"/>
        <v>384.18227598123923</v>
      </c>
      <c r="T66" s="224">
        <f t="shared" si="23"/>
        <v>0.27495279898303848</v>
      </c>
      <c r="U66" s="355">
        <v>509908</v>
      </c>
      <c r="V66" s="228">
        <f t="shared" si="7"/>
        <v>100.69770427055049</v>
      </c>
      <c r="W66" s="232">
        <f t="shared" si="20"/>
        <v>0.28493978024385186</v>
      </c>
      <c r="X66" s="351">
        <v>506375</v>
      </c>
      <c r="Y66" s="237">
        <v>100</v>
      </c>
      <c r="Z66" s="238">
        <f t="shared" si="8"/>
        <v>0.29205085303937633</v>
      </c>
      <c r="AA66" s="42"/>
    </row>
    <row r="67" spans="1:33">
      <c r="A67" s="14" t="s">
        <v>118</v>
      </c>
      <c r="B67" s="14" t="s">
        <v>119</v>
      </c>
      <c r="C67" s="637">
        <v>721670</v>
      </c>
      <c r="D67" s="620">
        <f t="shared" si="0"/>
        <v>185.51928020565555</v>
      </c>
      <c r="E67" s="622">
        <f t="shared" si="9"/>
        <v>0.16155632420689831</v>
      </c>
      <c r="F67" s="337">
        <v>721670</v>
      </c>
      <c r="G67" s="306">
        <f>(F$3/X67)*$Y67</f>
        <v>1177.8491002570695</v>
      </c>
      <c r="H67" s="308">
        <f t="shared" si="11"/>
        <v>0.15750683187274614</v>
      </c>
      <c r="I67" s="339">
        <v>721670</v>
      </c>
      <c r="J67" s="195">
        <f t="shared" si="1"/>
        <v>1079.6465295629821</v>
      </c>
      <c r="K67" s="197">
        <f>$I67/$I$35</f>
        <v>0.40698438371475959</v>
      </c>
      <c r="L67" s="341">
        <v>721670</v>
      </c>
      <c r="M67" s="203">
        <f t="shared" si="2"/>
        <v>965.07352185089962</v>
      </c>
      <c r="N67" s="206">
        <f t="shared" si="25"/>
        <v>0.19223331280486375</v>
      </c>
      <c r="O67" s="344">
        <v>721670</v>
      </c>
      <c r="P67" s="212">
        <f t="shared" si="3"/>
        <v>726.12724935732649</v>
      </c>
      <c r="Q67" s="215">
        <f t="shared" si="22"/>
        <v>0.25549141747517823</v>
      </c>
      <c r="R67" s="346">
        <v>389000</v>
      </c>
      <c r="S67" s="220">
        <f t="shared" si="5"/>
        <v>500.10359897172236</v>
      </c>
      <c r="T67" s="223">
        <f t="shared" si="23"/>
        <v>0.19995856899572995</v>
      </c>
      <c r="U67" s="348">
        <v>389000</v>
      </c>
      <c r="V67" s="228">
        <f t="shared" si="7"/>
        <v>100</v>
      </c>
      <c r="W67" s="231">
        <f t="shared" si="20"/>
        <v>0.21737563347674166</v>
      </c>
      <c r="X67" s="351">
        <v>389000</v>
      </c>
      <c r="Y67" s="237">
        <v>100</v>
      </c>
      <c r="Z67" s="238">
        <f t="shared" si="8"/>
        <v>0.22435503694360384</v>
      </c>
    </row>
    <row r="68" spans="1:33">
      <c r="A68" s="14" t="s">
        <v>120</v>
      </c>
      <c r="B68" s="14" t="s">
        <v>121</v>
      </c>
      <c r="C68" s="637">
        <v>101055</v>
      </c>
      <c r="D68" s="620">
        <f t="shared" ref="D68:D75" si="26">(C68/X68)*Y68</f>
        <v>105.92434200182383</v>
      </c>
      <c r="E68" s="622">
        <f t="shared" si="9"/>
        <v>2.2622631317261502E-2</v>
      </c>
      <c r="F68" s="337">
        <v>104889</v>
      </c>
      <c r="G68" s="306">
        <f>(F$3/X68)*$Y68</f>
        <v>4802.6089326331457</v>
      </c>
      <c r="H68" s="308">
        <f t="shared" si="11"/>
        <v>2.2892366439370444E-2</v>
      </c>
      <c r="I68" s="339">
        <v>101910</v>
      </c>
      <c r="J68" s="195">
        <f t="shared" ref="J68:J75" si="27">(I$3/X68)*$Y68</f>
        <v>4402.1938513463938</v>
      </c>
      <c r="K68" s="198">
        <f t="shared" si="24"/>
        <v>5.7471944994763741E-2</v>
      </c>
      <c r="L68" s="341">
        <v>98811</v>
      </c>
      <c r="M68" s="203">
        <f t="shared" ref="M68:M75" si="28">(L$3/X68)*$Y68</f>
        <v>3935.0292967726382</v>
      </c>
      <c r="N68" s="206">
        <f t="shared" si="25"/>
        <v>2.6320570165811786E-2</v>
      </c>
      <c r="O68" s="344">
        <v>106086</v>
      </c>
      <c r="P68" s="212">
        <f t="shared" ref="P68:P75" si="29">(O$3/X68)*$Y68</f>
        <v>2960.7402282947078</v>
      </c>
      <c r="Q68" s="215">
        <f t="shared" si="22"/>
        <v>3.7557418923152903E-2</v>
      </c>
      <c r="R68" s="346">
        <v>106789</v>
      </c>
      <c r="S68" s="220">
        <f t="shared" ref="S68:S75" si="30">(R$3/X68)*$Y68</f>
        <v>2039.1423749777259</v>
      </c>
      <c r="T68" s="223">
        <f t="shared" si="23"/>
        <v>5.4892996463971735E-2</v>
      </c>
      <c r="U68" s="348">
        <v>99888</v>
      </c>
      <c r="V68" s="228">
        <f t="shared" ref="V68:V75" si="31">(U68/X68)*Y68</f>
        <v>104.70111002798654</v>
      </c>
      <c r="W68" s="231">
        <f t="shared" si="20"/>
        <v>5.5818039271786038E-2</v>
      </c>
      <c r="X68" s="351">
        <v>95403</v>
      </c>
      <c r="Y68" s="237">
        <v>100</v>
      </c>
      <c r="Z68" s="238">
        <f t="shared" ref="Z68:Z75" si="32">X68/$X$3</f>
        <v>5.5023505371544053E-2</v>
      </c>
    </row>
    <row r="69" spans="1:33">
      <c r="A69" s="14" t="s">
        <v>122</v>
      </c>
      <c r="B69" s="14" t="s">
        <v>123</v>
      </c>
      <c r="C69" s="637">
        <v>-21203</v>
      </c>
      <c r="D69" s="620">
        <f t="shared" si="26"/>
        <v>91.752131204292695</v>
      </c>
      <c r="E69" s="622">
        <f t="shared" ref="E69:E75" si="33">C69/$C$3</f>
        <v>-4.746599889366143E-3</v>
      </c>
      <c r="F69" s="337">
        <v>-17493</v>
      </c>
      <c r="G69" s="306">
        <f>(F$3/X69)*$Y69</f>
        <v>-19827.050067073436</v>
      </c>
      <c r="H69" s="308">
        <f t="shared" ref="H69:H75" si="34">$F69/$F$3</f>
        <v>-3.8179043190792856E-3</v>
      </c>
      <c r="I69" s="339">
        <v>-19033</v>
      </c>
      <c r="J69" s="195">
        <f t="shared" si="27"/>
        <v>-18173.979834696438</v>
      </c>
      <c r="K69" s="198">
        <f t="shared" si="24"/>
        <v>-1.0733623089837488E-2</v>
      </c>
      <c r="L69" s="341">
        <v>-21128</v>
      </c>
      <c r="M69" s="203">
        <f t="shared" si="28"/>
        <v>-16245.341641784586</v>
      </c>
      <c r="N69" s="206">
        <f t="shared" si="25"/>
        <v>-5.6279261060334521E-3</v>
      </c>
      <c r="O69" s="344">
        <v>-13325</v>
      </c>
      <c r="P69" s="212">
        <f t="shared" si="29"/>
        <v>-12223.094898091653</v>
      </c>
      <c r="Q69" s="215">
        <f t="shared" si="22"/>
        <v>-4.7174236671286736E-3</v>
      </c>
      <c r="R69" s="346">
        <v>-12501</v>
      </c>
      <c r="S69" s="220">
        <f t="shared" si="30"/>
        <v>-8418.3781210783673</v>
      </c>
      <c r="T69" s="223">
        <f t="shared" si="23"/>
        <v>-6.4259179203486373E-3</v>
      </c>
      <c r="U69" s="348">
        <v>-19229</v>
      </c>
      <c r="V69" s="228">
        <f t="shared" si="31"/>
        <v>83.210004760050197</v>
      </c>
      <c r="W69" s="231">
        <f t="shared" si="20"/>
        <v>-1.0745285491322018E-2</v>
      </c>
      <c r="X69" s="351">
        <v>-23109</v>
      </c>
      <c r="Y69" s="237">
        <v>100</v>
      </c>
      <c r="Z69" s="238">
        <f t="shared" si="32"/>
        <v>-1.3328073390050748E-2</v>
      </c>
    </row>
    <row r="70" spans="1:33">
      <c r="A70" s="14" t="s">
        <v>124</v>
      </c>
      <c r="B70" s="14" t="s">
        <v>125</v>
      </c>
      <c r="C70" s="637">
        <v>122258</v>
      </c>
      <c r="D70" s="620">
        <f t="shared" si="26"/>
        <v>103.16086134737409</v>
      </c>
      <c r="E70" s="622">
        <f t="shared" si="33"/>
        <v>2.7369231206627643E-2</v>
      </c>
      <c r="F70" s="337">
        <v>122382</v>
      </c>
      <c r="G70" s="306">
        <f>(F$3/X70)*$Y70</f>
        <v>3866.1342311327126</v>
      </c>
      <c r="H70" s="308">
        <f t="shared" si="34"/>
        <v>2.6710270758449731E-2</v>
      </c>
      <c r="I70" s="339">
        <v>120943</v>
      </c>
      <c r="J70" s="195">
        <f t="shared" si="27"/>
        <v>3543.7972525988935</v>
      </c>
      <c r="K70" s="198">
        <f t="shared" si="24"/>
        <v>6.8205568084601223E-2</v>
      </c>
      <c r="L70" s="341">
        <v>119939</v>
      </c>
      <c r="M70" s="203">
        <f t="shared" si="28"/>
        <v>3167.7264749561223</v>
      </c>
      <c r="N70" s="206">
        <f t="shared" si="25"/>
        <v>3.1948496271845241E-2</v>
      </c>
      <c r="O70" s="344">
        <v>119411</v>
      </c>
      <c r="P70" s="212">
        <f t="shared" si="29"/>
        <v>2383.4168691778045</v>
      </c>
      <c r="Q70" s="215">
        <f t="shared" si="22"/>
        <v>4.2274842590281574E-2</v>
      </c>
      <c r="R70" s="346">
        <v>119290</v>
      </c>
      <c r="S70" s="220">
        <f t="shared" si="30"/>
        <v>1641.5240650735789</v>
      </c>
      <c r="T70" s="223">
        <f t="shared" si="23"/>
        <v>6.1318914384320369E-2</v>
      </c>
      <c r="U70" s="348">
        <v>119117</v>
      </c>
      <c r="V70" s="228">
        <f t="shared" si="31"/>
        <v>100.51049682732551</v>
      </c>
      <c r="W70" s="231">
        <f t="shared" si="20"/>
        <v>6.6563324763108056E-2</v>
      </c>
      <c r="X70" s="351">
        <v>118512</v>
      </c>
      <c r="Y70" s="237">
        <v>100</v>
      </c>
      <c r="Z70" s="238">
        <f t="shared" si="32"/>
        <v>6.8351578761594797E-2</v>
      </c>
    </row>
    <row r="71" spans="1:33">
      <c r="A71" s="33" t="s">
        <v>126</v>
      </c>
      <c r="B71" s="33" t="s">
        <v>127</v>
      </c>
      <c r="C71" s="640">
        <v>820122</v>
      </c>
      <c r="D71" s="620">
        <f t="shared" si="26"/>
        <v>1222.8033815920917</v>
      </c>
      <c r="E71" s="622">
        <f t="shared" si="33"/>
        <v>0.18359623612067821</v>
      </c>
      <c r="F71" s="337">
        <v>779421</v>
      </c>
      <c r="G71" s="306">
        <f>(F$3/X71)*$Y71</f>
        <v>6831.5212691407351</v>
      </c>
      <c r="H71" s="308">
        <f t="shared" si="34"/>
        <v>0.17011117602933148</v>
      </c>
      <c r="I71" s="339">
        <v>591779</v>
      </c>
      <c r="J71" s="195">
        <f t="shared" si="27"/>
        <v>6261.9466519554489</v>
      </c>
      <c r="K71" s="198">
        <f t="shared" si="24"/>
        <v>0.3337326085473093</v>
      </c>
      <c r="L71" s="341">
        <v>361419</v>
      </c>
      <c r="M71" s="203">
        <f t="shared" si="28"/>
        <v>5597.4235488824934</v>
      </c>
      <c r="N71" s="206">
        <f t="shared" si="25"/>
        <v>9.6272218161515724E-2</v>
      </c>
      <c r="O71" s="344">
        <v>211233</v>
      </c>
      <c r="P71" s="212">
        <f t="shared" si="29"/>
        <v>4211.5358809584159</v>
      </c>
      <c r="Q71" s="215">
        <f t="shared" si="22"/>
        <v>7.4782405514340788E-2</v>
      </c>
      <c r="R71" s="346">
        <v>68687</v>
      </c>
      <c r="S71" s="220">
        <f t="shared" si="30"/>
        <v>2900.5993827252532</v>
      </c>
      <c r="T71" s="223">
        <f t="shared" si="23"/>
        <v>3.5307337348611058E-2</v>
      </c>
      <c r="U71" s="348">
        <v>61843</v>
      </c>
      <c r="V71" s="228">
        <f t="shared" si="31"/>
        <v>92.208024571709728</v>
      </c>
      <c r="W71" s="231">
        <f t="shared" si="20"/>
        <v>3.4558255272756126E-2</v>
      </c>
      <c r="X71" s="351">
        <v>67069</v>
      </c>
      <c r="Y71" s="237">
        <v>100</v>
      </c>
      <c r="Z71" s="238">
        <f t="shared" si="32"/>
        <v>3.8681922809178829E-2</v>
      </c>
    </row>
    <row r="72" spans="1:33">
      <c r="A72" s="33" t="s">
        <v>128</v>
      </c>
      <c r="B72" s="33" t="s">
        <v>129</v>
      </c>
      <c r="C72" s="641">
        <v>0</v>
      </c>
      <c r="D72" s="623"/>
      <c r="E72" s="622">
        <f t="shared" si="33"/>
        <v>0</v>
      </c>
      <c r="F72" s="337">
        <v>0</v>
      </c>
      <c r="G72" s="306"/>
      <c r="H72" s="308">
        <f t="shared" si="34"/>
        <v>0</v>
      </c>
      <c r="I72" s="339">
        <v>0</v>
      </c>
      <c r="J72" s="195"/>
      <c r="K72" s="198">
        <f t="shared" si="24"/>
        <v>0</v>
      </c>
      <c r="L72" s="341">
        <v>0</v>
      </c>
      <c r="M72" s="203"/>
      <c r="N72" s="206">
        <f t="shared" si="25"/>
        <v>0</v>
      </c>
      <c r="O72" s="344">
        <v>0</v>
      </c>
      <c r="P72" s="212"/>
      <c r="Q72" s="215">
        <f t="shared" si="22"/>
        <v>0</v>
      </c>
      <c r="R72" s="346">
        <v>0</v>
      </c>
      <c r="S72" s="220"/>
      <c r="T72" s="223">
        <f t="shared" si="23"/>
        <v>0</v>
      </c>
      <c r="U72" s="348">
        <v>0</v>
      </c>
      <c r="V72" s="228"/>
      <c r="W72" s="231">
        <f t="shared" si="20"/>
        <v>0</v>
      </c>
      <c r="X72" s="351">
        <v>0</v>
      </c>
      <c r="Y72" s="237">
        <v>100</v>
      </c>
      <c r="Z72" s="238">
        <f t="shared" si="32"/>
        <v>0</v>
      </c>
    </row>
    <row r="73" spans="1:33">
      <c r="A73" s="33" t="s">
        <v>130</v>
      </c>
      <c r="B73" s="33" t="s">
        <v>131</v>
      </c>
      <c r="C73" s="641">
        <v>0</v>
      </c>
      <c r="D73" s="623"/>
      <c r="E73" s="622">
        <f t="shared" si="33"/>
        <v>0</v>
      </c>
      <c r="F73" s="337">
        <v>0</v>
      </c>
      <c r="G73" s="306"/>
      <c r="H73" s="308">
        <f t="shared" si="34"/>
        <v>0</v>
      </c>
      <c r="I73" s="339">
        <v>0</v>
      </c>
      <c r="J73" s="195"/>
      <c r="K73" s="198">
        <f t="shared" si="24"/>
        <v>0</v>
      </c>
      <c r="L73" s="341">
        <v>0</v>
      </c>
      <c r="M73" s="203"/>
      <c r="N73" s="206">
        <f t="shared" si="25"/>
        <v>0</v>
      </c>
      <c r="O73" s="344">
        <v>0</v>
      </c>
      <c r="P73" s="212"/>
      <c r="Q73" s="215">
        <f t="shared" si="22"/>
        <v>0</v>
      </c>
      <c r="R73" s="346">
        <v>0</v>
      </c>
      <c r="S73" s="220"/>
      <c r="T73" s="223">
        <f t="shared" si="23"/>
        <v>0</v>
      </c>
      <c r="U73" s="348">
        <v>0</v>
      </c>
      <c r="V73" s="228"/>
      <c r="W73" s="231">
        <f t="shared" si="20"/>
        <v>0</v>
      </c>
      <c r="X73" s="351">
        <v>0</v>
      </c>
      <c r="Y73" s="237">
        <v>100</v>
      </c>
      <c r="Z73" s="238">
        <f t="shared" si="32"/>
        <v>0</v>
      </c>
    </row>
    <row r="74" spans="1:33">
      <c r="A74" s="34" t="s">
        <v>132</v>
      </c>
      <c r="B74" s="35" t="s">
        <v>133</v>
      </c>
      <c r="C74" s="642">
        <v>0</v>
      </c>
      <c r="D74" s="623"/>
      <c r="E74" s="622">
        <f t="shared" si="33"/>
        <v>0</v>
      </c>
      <c r="F74" s="337">
        <v>0</v>
      </c>
      <c r="G74" s="306"/>
      <c r="H74" s="308">
        <f t="shared" si="34"/>
        <v>0</v>
      </c>
      <c r="I74" s="339">
        <v>0</v>
      </c>
      <c r="J74" s="195"/>
      <c r="K74" s="198">
        <f t="shared" si="24"/>
        <v>0</v>
      </c>
      <c r="L74" s="342">
        <v>0</v>
      </c>
      <c r="M74" s="203"/>
      <c r="N74" s="209">
        <f t="shared" si="25"/>
        <v>0</v>
      </c>
      <c r="O74" s="345">
        <v>0</v>
      </c>
      <c r="P74" s="212"/>
      <c r="Q74" s="218">
        <f t="shared" si="22"/>
        <v>0</v>
      </c>
      <c r="R74" s="347">
        <v>0</v>
      </c>
      <c r="S74" s="220"/>
      <c r="T74" s="226">
        <f t="shared" si="23"/>
        <v>0</v>
      </c>
      <c r="U74" s="348">
        <v>0</v>
      </c>
      <c r="V74" s="228"/>
      <c r="W74" s="233">
        <f>$U74/$U$34</f>
        <v>0</v>
      </c>
      <c r="X74" s="351">
        <v>0</v>
      </c>
      <c r="Y74" s="237">
        <v>100</v>
      </c>
      <c r="Z74" s="238">
        <f t="shared" si="32"/>
        <v>0</v>
      </c>
    </row>
    <row r="75" spans="1:33">
      <c r="A75" s="36" t="s">
        <v>134</v>
      </c>
      <c r="B75" s="1"/>
      <c r="C75" s="643">
        <f>SUM(C66,C34)</f>
        <v>6113108</v>
      </c>
      <c r="D75" s="620">
        <f t="shared" si="26"/>
        <v>272.87810112693586</v>
      </c>
      <c r="E75" s="622">
        <f t="shared" si="33"/>
        <v>1.3685081241561705</v>
      </c>
      <c r="F75" s="388">
        <f>SUM(F66,F34)</f>
        <v>6178260</v>
      </c>
      <c r="G75" s="306">
        <f>(F$3/X75)*$Y75</f>
        <v>204.52475053945255</v>
      </c>
      <c r="H75" s="308">
        <f t="shared" si="34"/>
        <v>1.3484254009257868</v>
      </c>
      <c r="I75" s="382">
        <f>SUM(I34,I66)</f>
        <v>5606145</v>
      </c>
      <c r="J75" s="195">
        <f t="shared" si="27"/>
        <v>187.47260330840439</v>
      </c>
      <c r="K75" s="202">
        <f>$I75/$I$3</f>
        <v>1.3348520474067371</v>
      </c>
      <c r="L75" s="376">
        <f t="shared" ref="L75" si="35">SUM(L34,L66)</f>
        <v>4935797</v>
      </c>
      <c r="M75" s="203">
        <f t="shared" si="28"/>
        <v>167.57785124232558</v>
      </c>
      <c r="N75" s="211">
        <f>$L75/$L$3</f>
        <v>1.314762438015032</v>
      </c>
      <c r="O75" s="369">
        <f t="shared" ref="O75" si="36">SUM(O34,O66)</f>
        <v>3857773</v>
      </c>
      <c r="P75" s="212">
        <f t="shared" si="29"/>
        <v>126.0866052385599</v>
      </c>
      <c r="Q75" s="219">
        <f>$O75/$O$3</f>
        <v>1.3657598238356461</v>
      </c>
      <c r="R75" s="363">
        <f t="shared" ref="R75" si="37">SUM(R34,R66)</f>
        <v>2480297</v>
      </c>
      <c r="S75" s="220">
        <f t="shared" si="30"/>
        <v>86.839276611282571</v>
      </c>
      <c r="T75" s="227">
        <f>$R75/$R$3</f>
        <v>1.2749527989830385</v>
      </c>
      <c r="U75" s="357">
        <f>SUM(U34,U66)</f>
        <v>2299437</v>
      </c>
      <c r="V75" s="228">
        <f t="shared" si="31"/>
        <v>102.64271500209352</v>
      </c>
      <c r="W75" s="234">
        <f>$U75/$U$3</f>
        <v>1.2849397802438518</v>
      </c>
      <c r="X75" s="351">
        <f>X34+X66</f>
        <v>2240234</v>
      </c>
      <c r="Y75" s="239">
        <v>100</v>
      </c>
      <c r="Z75" s="240">
        <f t="shared" si="32"/>
        <v>1.2920508530393764</v>
      </c>
    </row>
    <row r="76" spans="1:33">
      <c r="J76" s="42"/>
      <c r="K76" s="42"/>
      <c r="L76"/>
      <c r="M76"/>
      <c r="N76"/>
      <c r="O76"/>
      <c r="P76"/>
      <c r="Q76"/>
    </row>
  </sheetData>
  <mergeCells count="1">
    <mergeCell ref="A1:Z1"/>
  </mergeCells>
  <conditionalFormatting sqref="G3:G75">
    <cfRule type="containsBlanks" priority="1">
      <formula>LEN(TRIM(G3))=0</formula>
    </cfRule>
  </conditionalFormatting>
  <conditionalFormatting sqref="J3:J75">
    <cfRule type="containsBlanks" priority="2">
      <formula>LEN(TRIM(J3))=0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6868-A2D5-7A47-A3A0-623FE254F7D4}">
  <dimension ref="A1:Z27"/>
  <sheetViews>
    <sheetView zoomScale="66" workbookViewId="0">
      <selection activeCell="E3" sqref="E3"/>
    </sheetView>
  </sheetViews>
  <sheetFormatPr defaultColWidth="11.5703125" defaultRowHeight="15"/>
  <cols>
    <col min="1" max="1" width="15" bestFit="1" customWidth="1"/>
    <col min="2" max="2" width="79.42578125" bestFit="1" customWidth="1"/>
    <col min="3" max="3" width="11.140625" bestFit="1" customWidth="1"/>
    <col min="4" max="4" width="7.85546875" bestFit="1" customWidth="1"/>
    <col min="5" max="5" width="17" bestFit="1" customWidth="1"/>
    <col min="6" max="6" width="21.85546875" bestFit="1" customWidth="1"/>
    <col min="7" max="7" width="12.85546875" customWidth="1"/>
    <col min="8" max="8" width="14.140625" customWidth="1"/>
    <col min="9" max="9" width="21.28515625" bestFit="1" customWidth="1"/>
    <col min="10" max="10" width="11.85546875" bestFit="1" customWidth="1"/>
    <col min="11" max="11" width="11.28515625" style="72" bestFit="1" customWidth="1"/>
    <col min="12" max="12" width="21.28515625" bestFit="1" customWidth="1"/>
    <col min="13" max="13" width="11.28515625" bestFit="1" customWidth="1"/>
    <col min="14" max="14" width="12.140625" style="72" bestFit="1" customWidth="1"/>
    <col min="15" max="15" width="20.28515625" bestFit="1" customWidth="1"/>
    <col min="16" max="16" width="12.28515625" bestFit="1" customWidth="1"/>
    <col min="17" max="17" width="12.140625" style="72" bestFit="1" customWidth="1"/>
    <col min="18" max="18" width="21" bestFit="1" customWidth="1"/>
    <col min="19" max="19" width="11.28515625" bestFit="1" customWidth="1"/>
    <col min="20" max="20" width="12.140625" style="72" bestFit="1" customWidth="1"/>
    <col min="21" max="21" width="20.7109375" bestFit="1" customWidth="1"/>
    <col min="22" max="22" width="11.140625" bestFit="1" customWidth="1"/>
    <col min="23" max="23" width="12.42578125" style="72" bestFit="1" customWidth="1"/>
    <col min="24" max="24" width="16.42578125" customWidth="1"/>
  </cols>
  <sheetData>
    <row r="1" spans="1:26" ht="15" customHeight="1">
      <c r="A1" s="801" t="s">
        <v>136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802"/>
    </row>
    <row r="2" spans="1:26">
      <c r="A2" s="44" t="s">
        <v>137</v>
      </c>
      <c r="B2" s="45" t="s">
        <v>2</v>
      </c>
      <c r="C2" s="684">
        <v>2024</v>
      </c>
      <c r="D2" s="682" t="s">
        <v>309</v>
      </c>
      <c r="E2" s="683" t="s">
        <v>293</v>
      </c>
      <c r="F2" s="646">
        <v>2023</v>
      </c>
      <c r="G2" s="309" t="s">
        <v>294</v>
      </c>
      <c r="H2" s="310" t="s">
        <v>297</v>
      </c>
      <c r="I2" s="167">
        <v>2022</v>
      </c>
      <c r="J2" s="168" t="s">
        <v>296</v>
      </c>
      <c r="K2" s="169" t="s">
        <v>297</v>
      </c>
      <c r="L2" s="171">
        <v>2021</v>
      </c>
      <c r="M2" s="172" t="s">
        <v>298</v>
      </c>
      <c r="N2" s="173" t="s">
        <v>299</v>
      </c>
      <c r="O2" s="175">
        <v>2020</v>
      </c>
      <c r="P2" s="176" t="s">
        <v>300</v>
      </c>
      <c r="Q2" s="177" t="s">
        <v>301</v>
      </c>
      <c r="R2" s="182">
        <v>2019</v>
      </c>
      <c r="S2" s="183" t="s">
        <v>302</v>
      </c>
      <c r="T2" s="184" t="s">
        <v>303</v>
      </c>
      <c r="U2" s="186">
        <v>2018</v>
      </c>
      <c r="V2" s="187" t="s">
        <v>304</v>
      </c>
      <c r="W2" s="188" t="s">
        <v>305</v>
      </c>
      <c r="X2" s="190">
        <v>2017</v>
      </c>
      <c r="Y2" s="191" t="s">
        <v>306</v>
      </c>
      <c r="Z2" s="192" t="s">
        <v>307</v>
      </c>
    </row>
    <row r="3" spans="1:26">
      <c r="A3" s="67" t="s">
        <v>138</v>
      </c>
      <c r="B3" s="68" t="s">
        <v>139</v>
      </c>
      <c r="C3" s="673">
        <v>3688326</v>
      </c>
      <c r="D3" s="664">
        <f>(C3/X3)*Y3</f>
        <v>1.9274198268401888</v>
      </c>
      <c r="E3" s="666">
        <f>C3/C3</f>
        <v>1</v>
      </c>
      <c r="F3" s="647">
        <v>3926631</v>
      </c>
      <c r="G3" s="311">
        <f>(F3/X3)*$Y3</f>
        <v>2.0519516013729038</v>
      </c>
      <c r="H3" s="313">
        <f>$F$3/$F$3</f>
        <v>1</v>
      </c>
      <c r="I3" s="446">
        <v>4993235</v>
      </c>
      <c r="J3" s="170">
        <f>(I3/X3)*$Y3</f>
        <v>2.609330124037943</v>
      </c>
      <c r="K3" s="314">
        <f>I3/$I$3</f>
        <v>1</v>
      </c>
      <c r="L3" s="468">
        <v>3365487</v>
      </c>
      <c r="M3" s="174">
        <f>(L3/X3)*$Y3</f>
        <v>1.7587128607321876</v>
      </c>
      <c r="N3" s="315">
        <f>L3/L$3</f>
        <v>1</v>
      </c>
      <c r="O3" s="489">
        <v>2192173</v>
      </c>
      <c r="P3" s="178">
        <f>(O3/X3)*$Y3</f>
        <v>1.1455705661765627</v>
      </c>
      <c r="Q3" s="316">
        <f>O3/O$3</f>
        <v>1</v>
      </c>
      <c r="R3" s="510">
        <v>1915308</v>
      </c>
      <c r="S3" s="185">
        <f>(R3/X3)*$Y3</f>
        <v>1.0008883742124823</v>
      </c>
      <c r="T3" s="317">
        <f>R3/$R$3</f>
        <v>1</v>
      </c>
      <c r="U3" s="526">
        <v>1890654</v>
      </c>
      <c r="V3" s="556">
        <f>(U3/X3)*Y3</f>
        <v>0.98800485783922309</v>
      </c>
      <c r="W3" s="318">
        <f>U3/$U$3</f>
        <v>1</v>
      </c>
      <c r="X3" s="539">
        <v>1913608</v>
      </c>
      <c r="Y3" s="194">
        <v>1</v>
      </c>
      <c r="Z3" s="193">
        <f>X3/X3</f>
        <v>1</v>
      </c>
    </row>
    <row r="4" spans="1:26">
      <c r="A4" s="46" t="s">
        <v>140</v>
      </c>
      <c r="B4" s="47" t="s">
        <v>141</v>
      </c>
      <c r="C4" s="674">
        <v>-2764289</v>
      </c>
      <c r="D4" s="664">
        <f t="shared" ref="D4:D22" si="0">(C4/X4)*Y4</f>
        <v>1.9463273952145348</v>
      </c>
      <c r="E4" s="667">
        <f>F4/C3</f>
        <v>-0.77653168402142325</v>
      </c>
      <c r="F4" s="648">
        <v>-2864102</v>
      </c>
      <c r="G4" s="311">
        <f t="shared" ref="G4:G22" si="1">(F4/X4)*$Y4</f>
        <v>2.0166054219688099</v>
      </c>
      <c r="H4" s="313">
        <f>I4/$F$3</f>
        <v>-0.96685377362935299</v>
      </c>
      <c r="I4" s="447">
        <v>-3796478</v>
      </c>
      <c r="J4" s="170">
        <f t="shared" ref="J4:J22" si="2">(I4/X4)*$Y4</f>
        <v>2.6730885000552718</v>
      </c>
      <c r="K4" s="314">
        <f>I4/$I$3</f>
        <v>-0.76032431880334095</v>
      </c>
      <c r="L4" s="469">
        <v>-2596881</v>
      </c>
      <c r="M4" s="174">
        <f t="shared" ref="M4:M22" si="3">(L4/X4)*$Y4</f>
        <v>1.8284559365580504</v>
      </c>
      <c r="N4" s="315">
        <f t="shared" ref="N4:N22" si="4">L4/L$3</f>
        <v>-0.77162116507952638</v>
      </c>
      <c r="O4" s="490">
        <v>-1743427</v>
      </c>
      <c r="P4" s="178">
        <f t="shared" ref="P4:P22" si="5">(O4/X4)*$Y4</f>
        <v>1.2275415962863112</v>
      </c>
      <c r="Q4" s="179">
        <f>O4/O$3</f>
        <v>-0.79529626539511256</v>
      </c>
      <c r="R4" s="511">
        <v>-1435200</v>
      </c>
      <c r="S4" s="185">
        <f t="shared" ref="S4:S22" si="6">(R4/X4)*$Y4</f>
        <v>1.0105199122131949</v>
      </c>
      <c r="T4" s="317">
        <f t="shared" ref="T4:T22" si="7">R4/$R$3</f>
        <v>-0.74933117806639982</v>
      </c>
      <c r="U4" s="527">
        <v>-1436949</v>
      </c>
      <c r="V4" s="556">
        <f t="shared" ref="V4:V22" si="8">(U4/X4)*Y4</f>
        <v>1.0117513777416653</v>
      </c>
      <c r="W4" s="318">
        <f>U4/$U$3</f>
        <v>-0.76002748255365604</v>
      </c>
      <c r="X4" s="540">
        <v>-1420259</v>
      </c>
      <c r="Y4" s="194">
        <v>1</v>
      </c>
      <c r="Z4" s="193">
        <f>X4/$X$3</f>
        <v>-0.74218910038001518</v>
      </c>
    </row>
    <row r="5" spans="1:26">
      <c r="A5" s="46" t="s">
        <v>142</v>
      </c>
      <c r="B5" s="47" t="s">
        <v>143</v>
      </c>
      <c r="C5" s="675">
        <v>924037</v>
      </c>
      <c r="D5" s="664">
        <f t="shared" si="0"/>
        <v>1.8729884929329947</v>
      </c>
      <c r="E5" s="667">
        <f t="shared" ref="E5:E22" si="9">F5/C4</f>
        <v>-0.38437695913849818</v>
      </c>
      <c r="F5" s="649">
        <v>1062529</v>
      </c>
      <c r="G5" s="311">
        <f t="shared" si="1"/>
        <v>2.1537066052632112</v>
      </c>
      <c r="H5" s="313">
        <f t="shared" ref="H5:H22" si="10">I5/$F$3</f>
        <v>0.30477959349885436</v>
      </c>
      <c r="I5" s="448">
        <v>1196757</v>
      </c>
      <c r="J5" s="170">
        <f t="shared" si="2"/>
        <v>2.4257817488228413</v>
      </c>
      <c r="K5" s="314">
        <f t="shared" ref="K5:K22" si="11">I5/$I$3</f>
        <v>0.23967568119665908</v>
      </c>
      <c r="L5" s="470">
        <v>768606</v>
      </c>
      <c r="M5" s="174">
        <f t="shared" si="3"/>
        <v>1.557935660151333</v>
      </c>
      <c r="N5" s="315">
        <f t="shared" si="4"/>
        <v>0.22837883492047362</v>
      </c>
      <c r="O5" s="491">
        <v>448746</v>
      </c>
      <c r="P5" s="178">
        <f t="shared" si="5"/>
        <v>0.90959138459792155</v>
      </c>
      <c r="Q5" s="180">
        <f>O5/O$3</f>
        <v>0.20470373460488747</v>
      </c>
      <c r="R5" s="512">
        <v>480108</v>
      </c>
      <c r="S5" s="185">
        <f t="shared" si="6"/>
        <v>0.97316098745512813</v>
      </c>
      <c r="T5" s="317">
        <f t="shared" si="7"/>
        <v>0.25066882193360024</v>
      </c>
      <c r="U5" s="528">
        <v>453705</v>
      </c>
      <c r="V5" s="556">
        <f t="shared" si="8"/>
        <v>0.91964309241530839</v>
      </c>
      <c r="W5" s="318">
        <f t="shared" ref="W5:W22" si="12">U5/$U$3</f>
        <v>0.23997251744634396</v>
      </c>
      <c r="X5" s="541">
        <v>493349</v>
      </c>
      <c r="Y5" s="194">
        <v>1</v>
      </c>
      <c r="Z5" s="193">
        <f t="shared" ref="Z5:Z22" si="13">X5/$X$3</f>
        <v>0.25781089961998488</v>
      </c>
    </row>
    <row r="6" spans="1:26" s="72" customFormat="1">
      <c r="A6" s="50"/>
      <c r="B6" s="51" t="s">
        <v>144</v>
      </c>
      <c r="C6" s="676">
        <f>C5/C3</f>
        <v>0.25053018632300939</v>
      </c>
      <c r="D6" s="664">
        <f t="shared" si="0"/>
        <v>0.97175948221077035</v>
      </c>
      <c r="E6" s="667">
        <f t="shared" si="9"/>
        <v>2.9284063496425245E-7</v>
      </c>
      <c r="F6" s="650">
        <f>F5/F3</f>
        <v>0.27059558181046295</v>
      </c>
      <c r="G6" s="311">
        <f t="shared" si="1"/>
        <v>1.0495893781423624</v>
      </c>
      <c r="H6" s="313">
        <f t="shared" si="10"/>
        <v>6.1038503795406056E-8</v>
      </c>
      <c r="I6" s="449">
        <f>I5/I3</f>
        <v>0.23967568119665908</v>
      </c>
      <c r="J6" s="170">
        <f t="shared" si="2"/>
        <v>0.92965689794319306</v>
      </c>
      <c r="K6" s="314"/>
      <c r="L6" s="471">
        <f t="shared" ref="L6" si="14">L5/L3</f>
        <v>0.22837883492047362</v>
      </c>
      <c r="M6" s="174">
        <f t="shared" si="3"/>
        <v>0.88583855553471813</v>
      </c>
      <c r="N6" s="315"/>
      <c r="O6" s="492">
        <f>O5/O3</f>
        <v>0.20470373460488747</v>
      </c>
      <c r="P6" s="178">
        <f t="shared" si="5"/>
        <v>0.79400729335579778</v>
      </c>
      <c r="Q6" s="319"/>
      <c r="R6" s="513">
        <f t="shared" ref="R6" si="15">R5/R3</f>
        <v>0.25066882193360024</v>
      </c>
      <c r="S6" s="185">
        <f t="shared" si="6"/>
        <v>0.97229722367474725</v>
      </c>
      <c r="T6" s="317">
        <f t="shared" si="7"/>
        <v>1.3087650755575618E-7</v>
      </c>
      <c r="U6" s="529">
        <f>U5/U3</f>
        <v>0.23997251744634396</v>
      </c>
      <c r="V6" s="556">
        <f t="shared" si="8"/>
        <v>0.9308082699376371</v>
      </c>
      <c r="W6" s="318">
        <f t="shared" si="12"/>
        <v>1.2692566564074862E-7</v>
      </c>
      <c r="X6" s="542">
        <f>X5/X3</f>
        <v>0.25781089961998488</v>
      </c>
      <c r="Y6" s="194">
        <v>1</v>
      </c>
      <c r="Z6" s="193">
        <f t="shared" si="13"/>
        <v>1.3472503230545905E-7</v>
      </c>
    </row>
    <row r="7" spans="1:26">
      <c r="A7" s="46" t="s">
        <v>145</v>
      </c>
      <c r="B7" s="47" t="s">
        <v>146</v>
      </c>
      <c r="C7" s="675">
        <v>-614527</v>
      </c>
      <c r="D7" s="664">
        <f t="shared" si="0"/>
        <v>1.35277322837419</v>
      </c>
      <c r="E7" s="667">
        <f t="shared" si="9"/>
        <v>-2211118.780256635</v>
      </c>
      <c r="F7" s="648">
        <v>-553952</v>
      </c>
      <c r="G7" s="311">
        <f t="shared" si="1"/>
        <v>1.2194280078895463</v>
      </c>
      <c r="H7" s="313">
        <f t="shared" si="10"/>
        <v>-0.14558587246930002</v>
      </c>
      <c r="I7" s="447">
        <v>-571662</v>
      </c>
      <c r="J7" s="170">
        <f t="shared" si="2"/>
        <v>1.2584134615384615</v>
      </c>
      <c r="K7" s="314">
        <f>I7/$I$3</f>
        <v>-0.11448730131868418</v>
      </c>
      <c r="L7" s="469">
        <v>-465457</v>
      </c>
      <c r="M7" s="174">
        <f t="shared" si="3"/>
        <v>1.0246218124823894</v>
      </c>
      <c r="N7" s="315">
        <f t="shared" si="4"/>
        <v>-0.13830301528426645</v>
      </c>
      <c r="O7" s="490">
        <v>-171070</v>
      </c>
      <c r="P7" s="178">
        <f t="shared" si="5"/>
        <v>0.37658055085939701</v>
      </c>
      <c r="Q7" s="179">
        <f>O7/O$3</f>
        <v>-7.8036724291376633E-2</v>
      </c>
      <c r="R7" s="511">
        <v>-381253</v>
      </c>
      <c r="S7" s="185">
        <f t="shared" si="6"/>
        <v>0.8392614997182305</v>
      </c>
      <c r="T7" s="317">
        <f t="shared" si="7"/>
        <v>-0.19905571323254537</v>
      </c>
      <c r="U7" s="527">
        <v>-378691</v>
      </c>
      <c r="V7" s="556">
        <f t="shared" si="8"/>
        <v>0.83362170681882219</v>
      </c>
      <c r="W7" s="318">
        <f t="shared" si="12"/>
        <v>-0.20029629958733855</v>
      </c>
      <c r="X7" s="540">
        <v>-454272</v>
      </c>
      <c r="Y7" s="194">
        <v>1</v>
      </c>
      <c r="Z7" s="193">
        <f t="shared" si="13"/>
        <v>-0.23739031191341173</v>
      </c>
    </row>
    <row r="8" spans="1:26" s="72" customFormat="1">
      <c r="A8" s="50"/>
      <c r="B8" s="51" t="s">
        <v>147</v>
      </c>
      <c r="C8" s="663"/>
      <c r="D8" s="664">
        <f t="shared" si="0"/>
        <v>0</v>
      </c>
      <c r="E8" s="667">
        <f t="shared" si="9"/>
        <v>2.2956785421115862E-7</v>
      </c>
      <c r="F8" s="650">
        <f>F7/F3</f>
        <v>-0.14107564474482068</v>
      </c>
      <c r="G8" s="311">
        <f t="shared" si="1"/>
        <v>0.59427717840599203</v>
      </c>
      <c r="H8" s="313">
        <f t="shared" si="10"/>
        <v>-2.915662340532741E-8</v>
      </c>
      <c r="I8" s="449">
        <f>I7/I3</f>
        <v>-0.11448730131868418</v>
      </c>
      <c r="J8" s="170">
        <f t="shared" si="2"/>
        <v>0.48227453090184863</v>
      </c>
      <c r="K8" s="314">
        <f t="shared" si="11"/>
        <v>-2.2928482500560092E-8</v>
      </c>
      <c r="L8" s="471">
        <f t="shared" ref="L8" si="16">L7/L3</f>
        <v>-0.13830301528426645</v>
      </c>
      <c r="M8" s="174">
        <f t="shared" si="3"/>
        <v>0.58259755492765253</v>
      </c>
      <c r="N8" s="315"/>
      <c r="O8" s="492">
        <f t="shared" ref="O8" si="17">O7/O3</f>
        <v>-7.8036724291376633E-2</v>
      </c>
      <c r="P8" s="178">
        <f t="shared" si="5"/>
        <v>0.32872750224044772</v>
      </c>
      <c r="Q8" s="319"/>
      <c r="R8" s="513">
        <f t="shared" ref="R8" si="18">R7/R3</f>
        <v>-0.19905571323254537</v>
      </c>
      <c r="S8" s="185">
        <f t="shared" si="6"/>
        <v>0.83851658320896882</v>
      </c>
      <c r="T8" s="317">
        <f t="shared" si="7"/>
        <v>-1.0392882671222872E-7</v>
      </c>
      <c r="U8" s="529">
        <f>U7/U3</f>
        <v>-0.20029629958733855</v>
      </c>
      <c r="V8" s="556">
        <f t="shared" si="8"/>
        <v>0.84374251827259383</v>
      </c>
      <c r="W8" s="318">
        <f t="shared" si="12"/>
        <v>-1.0594021940944168E-7</v>
      </c>
      <c r="X8" s="542">
        <f>X7/X3</f>
        <v>-0.23739031191341173</v>
      </c>
      <c r="Y8" s="194">
        <v>1</v>
      </c>
      <c r="Z8" s="193">
        <f t="shared" si="13"/>
        <v>-1.2405378317472113E-7</v>
      </c>
    </row>
    <row r="9" spans="1:26">
      <c r="A9" s="54" t="s">
        <v>148</v>
      </c>
      <c r="B9" s="55" t="s">
        <v>149</v>
      </c>
      <c r="C9" s="677">
        <v>-436329</v>
      </c>
      <c r="D9" s="664">
        <f t="shared" si="0"/>
        <v>1.3136900102366471</v>
      </c>
      <c r="E9" s="667"/>
      <c r="F9" s="651">
        <v>-496236</v>
      </c>
      <c r="G9" s="311">
        <f t="shared" si="1"/>
        <v>1.4940567230685855</v>
      </c>
      <c r="H9" s="313">
        <f t="shared" si="10"/>
        <v>-0.137589704762174</v>
      </c>
      <c r="I9" s="450">
        <v>-540264</v>
      </c>
      <c r="J9" s="170">
        <f t="shared" si="2"/>
        <v>1.6266152827121094</v>
      </c>
      <c r="K9" s="314">
        <f t="shared" si="11"/>
        <v>-0.10819919350881743</v>
      </c>
      <c r="L9" s="472">
        <v>-363763</v>
      </c>
      <c r="M9" s="174">
        <f t="shared" si="3"/>
        <v>1.0952098512675379</v>
      </c>
      <c r="N9" s="315">
        <f t="shared" si="4"/>
        <v>-0.10808628884913238</v>
      </c>
      <c r="O9" s="493">
        <v>-310653</v>
      </c>
      <c r="P9" s="178">
        <f t="shared" si="5"/>
        <v>0.9353074004937677</v>
      </c>
      <c r="Q9" s="181">
        <f t="shared" ref="Q9:Q22" si="19">O9/O$3</f>
        <v>-0.14171007488916249</v>
      </c>
      <c r="R9" s="514">
        <v>-273006</v>
      </c>
      <c r="S9" s="185">
        <f t="shared" si="6"/>
        <v>0.82196061901607753</v>
      </c>
      <c r="T9" s="317">
        <f t="shared" si="7"/>
        <v>-0.142538954570231</v>
      </c>
      <c r="U9" s="530">
        <v>-276226</v>
      </c>
      <c r="V9" s="556">
        <f t="shared" si="8"/>
        <v>0.83165532606732095</v>
      </c>
      <c r="W9" s="318">
        <f t="shared" si="12"/>
        <v>-0.14610076724773544</v>
      </c>
      <c r="X9" s="543">
        <v>-332140</v>
      </c>
      <c r="Y9" s="194">
        <v>1</v>
      </c>
      <c r="Z9" s="193">
        <f t="shared" si="13"/>
        <v>-0.17356741819641222</v>
      </c>
    </row>
    <row r="10" spans="1:26">
      <c r="A10" s="54" t="s">
        <v>150</v>
      </c>
      <c r="B10" s="55" t="s">
        <v>151</v>
      </c>
      <c r="C10" s="677">
        <v>220817</v>
      </c>
      <c r="D10" s="664">
        <f t="shared" si="0"/>
        <v>-2.2322786089769511</v>
      </c>
      <c r="E10" s="667">
        <f t="shared" si="9"/>
        <v>0.49543349170007034</v>
      </c>
      <c r="F10" s="651">
        <v>-216172</v>
      </c>
      <c r="G10" s="311">
        <f t="shared" si="1"/>
        <v>2.185321471896482</v>
      </c>
      <c r="H10" s="313">
        <f t="shared" si="10"/>
        <v>-5.0253003146972557E-2</v>
      </c>
      <c r="I10" s="450">
        <v>-197325</v>
      </c>
      <c r="J10" s="170">
        <f t="shared" si="2"/>
        <v>1.9947937727456531</v>
      </c>
      <c r="K10" s="314">
        <f t="shared" si="11"/>
        <v>-3.9518468487864084E-2</v>
      </c>
      <c r="L10" s="472">
        <v>-163437</v>
      </c>
      <c r="M10" s="174">
        <f t="shared" si="3"/>
        <v>1.6522139102304894</v>
      </c>
      <c r="N10" s="315">
        <f t="shared" si="4"/>
        <v>-4.856265972799776E-2</v>
      </c>
      <c r="O10" s="493">
        <v>-82691</v>
      </c>
      <c r="P10" s="178">
        <f t="shared" si="5"/>
        <v>0.83593813182369592</v>
      </c>
      <c r="Q10" s="181">
        <f t="shared" si="19"/>
        <v>-3.7721019280868802E-2</v>
      </c>
      <c r="R10" s="514">
        <v>-112095</v>
      </c>
      <c r="S10" s="185">
        <f t="shared" si="6"/>
        <v>1.13318843509907</v>
      </c>
      <c r="T10" s="317">
        <f t="shared" si="7"/>
        <v>-5.8525835009303986E-2</v>
      </c>
      <c r="U10" s="530">
        <v>-105148</v>
      </c>
      <c r="V10" s="556">
        <f t="shared" si="8"/>
        <v>1.0629599676506267</v>
      </c>
      <c r="W10" s="318">
        <f t="shared" si="12"/>
        <v>-5.5614618010487379E-2</v>
      </c>
      <c r="X10" s="543">
        <v>-98920</v>
      </c>
      <c r="Y10" s="194">
        <v>1</v>
      </c>
      <c r="Z10" s="193">
        <f t="shared" si="13"/>
        <v>-5.1692927705151735E-2</v>
      </c>
    </row>
    <row r="11" spans="1:26">
      <c r="A11" s="54" t="s">
        <v>152</v>
      </c>
      <c r="B11" s="55" t="s">
        <v>153</v>
      </c>
      <c r="C11" s="663">
        <v>0</v>
      </c>
      <c r="D11" s="664"/>
      <c r="E11" s="667">
        <f>F11/C10</f>
        <v>0</v>
      </c>
      <c r="F11" s="652">
        <v>0</v>
      </c>
      <c r="G11" s="311"/>
      <c r="H11" s="313">
        <f t="shared" si="10"/>
        <v>0</v>
      </c>
      <c r="I11" s="451">
        <v>0</v>
      </c>
      <c r="J11" s="170"/>
      <c r="K11" s="314">
        <f t="shared" si="11"/>
        <v>0</v>
      </c>
      <c r="L11" s="473">
        <v>0</v>
      </c>
      <c r="M11" s="174"/>
      <c r="N11" s="315">
        <f t="shared" si="4"/>
        <v>0</v>
      </c>
      <c r="O11" s="494">
        <v>0</v>
      </c>
      <c r="P11" s="178"/>
      <c r="Q11" s="181">
        <f t="shared" si="19"/>
        <v>0</v>
      </c>
      <c r="R11" s="515">
        <v>0</v>
      </c>
      <c r="S11" s="185"/>
      <c r="T11" s="317">
        <f t="shared" si="7"/>
        <v>0</v>
      </c>
      <c r="U11" s="531">
        <v>0</v>
      </c>
      <c r="V11" s="556"/>
      <c r="W11" s="318">
        <f t="shared" si="12"/>
        <v>0</v>
      </c>
      <c r="X11" s="544">
        <v>0</v>
      </c>
      <c r="Y11" s="194">
        <v>1</v>
      </c>
      <c r="Z11" s="193">
        <f t="shared" si="13"/>
        <v>0</v>
      </c>
    </row>
    <row r="12" spans="1:26">
      <c r="A12" s="54" t="s">
        <v>154</v>
      </c>
      <c r="B12" s="55" t="s">
        <v>155</v>
      </c>
      <c r="C12" s="677">
        <v>50284</v>
      </c>
      <c r="D12" s="664"/>
      <c r="E12" s="667"/>
      <c r="F12" s="652">
        <v>165013</v>
      </c>
      <c r="G12" s="311"/>
      <c r="H12" s="313">
        <f t="shared" si="10"/>
        <v>4.4362966624569511E-2</v>
      </c>
      <c r="I12" s="451">
        <v>174197</v>
      </c>
      <c r="J12" s="170"/>
      <c r="K12" s="314">
        <f t="shared" si="11"/>
        <v>3.4886601571926815E-2</v>
      </c>
      <c r="L12" s="474">
        <v>57585</v>
      </c>
      <c r="M12" s="174"/>
      <c r="N12" s="315">
        <f t="shared" si="4"/>
        <v>1.7110450879768663E-2</v>
      </c>
      <c r="O12" s="495">
        <v>221150</v>
      </c>
      <c r="P12" s="178"/>
      <c r="Q12" s="181">
        <f t="shared" si="19"/>
        <v>0.10088163662265706</v>
      </c>
      <c r="R12" s="516">
        <v>5896</v>
      </c>
      <c r="S12" s="185"/>
      <c r="T12" s="317">
        <f t="shared" si="7"/>
        <v>3.0783560659695462E-3</v>
      </c>
      <c r="U12" s="532">
        <v>5610</v>
      </c>
      <c r="V12" s="556"/>
      <c r="W12" s="318">
        <f t="shared" si="12"/>
        <v>2.9672272134404288E-3</v>
      </c>
      <c r="X12" s="545">
        <v>0</v>
      </c>
      <c r="Y12" s="194">
        <v>1</v>
      </c>
      <c r="Z12" s="193">
        <f t="shared" si="13"/>
        <v>0</v>
      </c>
    </row>
    <row r="13" spans="1:26">
      <c r="A13" s="54" t="s">
        <v>156</v>
      </c>
      <c r="B13" s="55" t="s">
        <v>157</v>
      </c>
      <c r="C13" s="677">
        <v>-7665</v>
      </c>
      <c r="D13" s="664">
        <f t="shared" si="0"/>
        <v>1.2514285714285713</v>
      </c>
      <c r="E13" s="667">
        <f t="shared" si="9"/>
        <v>-0.13039933179540211</v>
      </c>
      <c r="F13" s="653">
        <v>-6557</v>
      </c>
      <c r="G13" s="311">
        <f t="shared" si="1"/>
        <v>1.0705306122448979</v>
      </c>
      <c r="H13" s="313">
        <f t="shared" si="10"/>
        <v>-2.106131184722985E-3</v>
      </c>
      <c r="I13" s="452">
        <v>-8270</v>
      </c>
      <c r="J13" s="170">
        <f t="shared" si="2"/>
        <v>1.350204081632653</v>
      </c>
      <c r="K13" s="314">
        <f t="shared" si="11"/>
        <v>-1.6562408939294867E-3</v>
      </c>
      <c r="L13" s="474">
        <v>4158</v>
      </c>
      <c r="M13" s="174">
        <f t="shared" si="3"/>
        <v>-0.67885714285714283</v>
      </c>
      <c r="N13" s="315">
        <f t="shared" si="4"/>
        <v>1.2354824130950438E-3</v>
      </c>
      <c r="O13" s="495">
        <v>1124</v>
      </c>
      <c r="P13" s="178">
        <f t="shared" si="5"/>
        <v>-0.18351020408163266</v>
      </c>
      <c r="Q13" s="181">
        <f t="shared" si="19"/>
        <v>5.1273325599758774E-4</v>
      </c>
      <c r="R13" s="516">
        <v>-2048</v>
      </c>
      <c r="S13" s="185">
        <f t="shared" si="6"/>
        <v>0.33436734693877551</v>
      </c>
      <c r="T13" s="317">
        <f t="shared" si="7"/>
        <v>-1.0692797189799238E-3</v>
      </c>
      <c r="U13" s="532">
        <v>-2927</v>
      </c>
      <c r="V13" s="556">
        <f t="shared" si="8"/>
        <v>0.47787755102040819</v>
      </c>
      <c r="W13" s="318">
        <f t="shared" si="12"/>
        <v>-1.5481415425561737E-3</v>
      </c>
      <c r="X13" s="545">
        <v>-6125</v>
      </c>
      <c r="Y13" s="194">
        <v>1</v>
      </c>
      <c r="Z13" s="193">
        <f t="shared" si="13"/>
        <v>-3.2007600302674322E-3</v>
      </c>
    </row>
    <row r="14" spans="1:26">
      <c r="A14" s="46" t="s">
        <v>158</v>
      </c>
      <c r="B14" s="47" t="s">
        <v>159</v>
      </c>
      <c r="C14" s="678">
        <v>309510</v>
      </c>
      <c r="D14" s="664">
        <f t="shared" si="0"/>
        <v>7.9205159044962512</v>
      </c>
      <c r="E14" s="667">
        <f t="shared" si="9"/>
        <v>-66.350554468362688</v>
      </c>
      <c r="F14" s="649">
        <v>508577</v>
      </c>
      <c r="G14" s="311">
        <f t="shared" si="1"/>
        <v>13.014740128464314</v>
      </c>
      <c r="H14" s="313">
        <f t="shared" si="10"/>
        <v>0.15919372102955434</v>
      </c>
      <c r="I14" s="448">
        <v>625095</v>
      </c>
      <c r="J14" s="170">
        <f t="shared" si="2"/>
        <v>15.996494101389564</v>
      </c>
      <c r="K14" s="314">
        <f t="shared" si="11"/>
        <v>0.1251883798779749</v>
      </c>
      <c r="L14" s="470">
        <v>303149</v>
      </c>
      <c r="M14" s="174">
        <f t="shared" si="3"/>
        <v>7.7577347288686438</v>
      </c>
      <c r="N14" s="315">
        <f t="shared" si="4"/>
        <v>9.0075819636207186E-2</v>
      </c>
      <c r="O14" s="491">
        <v>277676</v>
      </c>
      <c r="P14" s="178">
        <f t="shared" si="5"/>
        <v>7.1058679018348387</v>
      </c>
      <c r="Q14" s="319">
        <f t="shared" si="19"/>
        <v>0.12666701031351085</v>
      </c>
      <c r="R14" s="512">
        <v>98855</v>
      </c>
      <c r="S14" s="185">
        <f t="shared" si="6"/>
        <v>2.5297489571870924</v>
      </c>
      <c r="T14" s="317">
        <f t="shared" si="7"/>
        <v>5.1613108701054872E-2</v>
      </c>
      <c r="U14" s="528">
        <v>75014</v>
      </c>
      <c r="V14" s="556">
        <f t="shared" si="8"/>
        <v>1.9196458274688435</v>
      </c>
      <c r="W14" s="318">
        <f t="shared" si="12"/>
        <v>3.9676217859005401E-2</v>
      </c>
      <c r="X14" s="546">
        <v>39077</v>
      </c>
      <c r="Y14" s="194">
        <v>1</v>
      </c>
      <c r="Z14" s="193">
        <f t="shared" si="13"/>
        <v>2.0420587706573134E-2</v>
      </c>
    </row>
    <row r="15" spans="1:26">
      <c r="A15" s="50" t="s">
        <v>160</v>
      </c>
      <c r="B15" s="51" t="s">
        <v>161</v>
      </c>
      <c r="C15" s="677">
        <v>-207374</v>
      </c>
      <c r="D15" s="664">
        <f t="shared" si="0"/>
        <v>2.4965568718096889</v>
      </c>
      <c r="E15" s="667">
        <f t="shared" si="9"/>
        <v>-0.8220283674194695</v>
      </c>
      <c r="F15" s="651">
        <v>-254426</v>
      </c>
      <c r="G15" s="311">
        <f t="shared" si="1"/>
        <v>3.0630116536646441</v>
      </c>
      <c r="H15" s="313">
        <f t="shared" si="10"/>
        <v>-8.1013469307403725E-3</v>
      </c>
      <c r="I15" s="450">
        <v>-31811</v>
      </c>
      <c r="J15" s="170">
        <f t="shared" si="2"/>
        <v>0.38296975825869212</v>
      </c>
      <c r="K15" s="314">
        <f t="shared" si="11"/>
        <v>-6.3708197190799152E-3</v>
      </c>
      <c r="L15" s="472">
        <v>-94912</v>
      </c>
      <c r="M15" s="174">
        <f t="shared" si="3"/>
        <v>1.142637002793027</v>
      </c>
      <c r="N15" s="315">
        <f t="shared" si="4"/>
        <v>-2.8201564884963157E-2</v>
      </c>
      <c r="O15" s="493">
        <v>-5287</v>
      </c>
      <c r="P15" s="178">
        <f t="shared" si="5"/>
        <v>6.3649715881729754E-2</v>
      </c>
      <c r="Q15" s="319">
        <f t="shared" si="19"/>
        <v>-2.4117622103729951E-3</v>
      </c>
      <c r="R15" s="514">
        <v>-70575</v>
      </c>
      <c r="S15" s="185">
        <f t="shared" si="6"/>
        <v>0.84964605605316379</v>
      </c>
      <c r="T15" s="317">
        <f t="shared" si="7"/>
        <v>-3.6847859456546936E-2</v>
      </c>
      <c r="U15" s="530">
        <v>-64781</v>
      </c>
      <c r="V15" s="556">
        <f t="shared" si="8"/>
        <v>0.77989261292497347</v>
      </c>
      <c r="W15" s="318">
        <f t="shared" si="12"/>
        <v>-3.4263805011387594E-2</v>
      </c>
      <c r="X15" s="543">
        <v>-83064</v>
      </c>
      <c r="Y15" s="194">
        <v>1</v>
      </c>
      <c r="Z15" s="193">
        <f t="shared" si="13"/>
        <v>-4.3407009168021871E-2</v>
      </c>
    </row>
    <row r="16" spans="1:26">
      <c r="A16" s="54" t="s">
        <v>162</v>
      </c>
      <c r="B16" s="55" t="s">
        <v>163</v>
      </c>
      <c r="C16" s="677">
        <v>114170</v>
      </c>
      <c r="D16" s="664">
        <f t="shared" si="0"/>
        <v>1.752821063944116</v>
      </c>
      <c r="E16" s="667">
        <f t="shared" si="9"/>
        <v>-0.50305245594915471</v>
      </c>
      <c r="F16" s="653">
        <v>104320</v>
      </c>
      <c r="G16" s="311">
        <f t="shared" si="1"/>
        <v>1.6015966838105473</v>
      </c>
      <c r="H16" s="313">
        <f t="shared" si="10"/>
        <v>1.0061806164113715E-2</v>
      </c>
      <c r="I16" s="452">
        <v>39509</v>
      </c>
      <c r="J16" s="170">
        <f t="shared" si="2"/>
        <v>0.60657096798956012</v>
      </c>
      <c r="K16" s="314">
        <f t="shared" si="11"/>
        <v>7.9125056201040014E-3</v>
      </c>
      <c r="L16" s="474">
        <v>63856</v>
      </c>
      <c r="M16" s="174">
        <f t="shared" si="3"/>
        <v>0.98036385967605744</v>
      </c>
      <c r="N16" s="315">
        <f t="shared" si="4"/>
        <v>1.8973777049205658E-2</v>
      </c>
      <c r="O16" s="495">
        <v>95289</v>
      </c>
      <c r="P16" s="178">
        <f t="shared" si="5"/>
        <v>1.4629461886850388</v>
      </c>
      <c r="Q16" s="180">
        <f t="shared" si="19"/>
        <v>4.3467828497112226E-2</v>
      </c>
      <c r="R16" s="516">
        <v>37406</v>
      </c>
      <c r="S16" s="185">
        <f t="shared" si="6"/>
        <v>0.57428417901281947</v>
      </c>
      <c r="T16" s="317">
        <f t="shared" si="7"/>
        <v>1.9530018148517105E-2</v>
      </c>
      <c r="U16" s="532">
        <v>48130</v>
      </c>
      <c r="V16" s="556">
        <f t="shared" si="8"/>
        <v>0.73892684424656485</v>
      </c>
      <c r="W16" s="318">
        <f t="shared" si="12"/>
        <v>2.545679960479284E-2</v>
      </c>
      <c r="X16" s="545">
        <v>65135</v>
      </c>
      <c r="Y16" s="194">
        <v>1</v>
      </c>
      <c r="Z16" s="193">
        <f t="shared" si="13"/>
        <v>3.4037796664729662E-2</v>
      </c>
    </row>
    <row r="17" spans="1:26">
      <c r="A17" s="54" t="s">
        <v>164</v>
      </c>
      <c r="B17" s="55" t="s">
        <v>165</v>
      </c>
      <c r="C17" s="677">
        <v>-321544</v>
      </c>
      <c r="D17" s="664">
        <f t="shared" si="0"/>
        <v>-4.9365778767175863</v>
      </c>
      <c r="E17" s="667">
        <f t="shared" si="9"/>
        <v>0.91372514671104488</v>
      </c>
      <c r="F17" s="652">
        <v>104320</v>
      </c>
      <c r="G17" s="311">
        <f t="shared" si="1"/>
        <v>1.6015966838105473</v>
      </c>
      <c r="H17" s="313">
        <f t="shared" si="10"/>
        <v>2.1990861886436491E-2</v>
      </c>
      <c r="I17" s="451">
        <v>86350</v>
      </c>
      <c r="J17" s="170">
        <f t="shared" si="2"/>
        <v>1.3257081446227066</v>
      </c>
      <c r="K17" s="314">
        <f t="shared" si="11"/>
        <v>1.7293397967449959E-2</v>
      </c>
      <c r="L17" s="473">
        <v>43706</v>
      </c>
      <c r="M17" s="174">
        <f t="shared" si="3"/>
        <v>0.67100637138251329</v>
      </c>
      <c r="N17" s="315">
        <f t="shared" si="4"/>
        <v>1.298653062691967E-2</v>
      </c>
      <c r="O17" s="494">
        <v>59756</v>
      </c>
      <c r="P17" s="178">
        <f t="shared" si="5"/>
        <v>0.91741767099101867</v>
      </c>
      <c r="Q17" s="181">
        <f t="shared" si="19"/>
        <v>2.7258797549281011E-2</v>
      </c>
      <c r="R17" s="515">
        <v>32306</v>
      </c>
      <c r="S17" s="185">
        <f t="shared" si="6"/>
        <v>0.49598526138021032</v>
      </c>
      <c r="T17" s="317">
        <f t="shared" si="7"/>
        <v>1.6867261035822961E-2</v>
      </c>
      <c r="U17" s="531">
        <v>48130</v>
      </c>
      <c r="V17" s="556">
        <f t="shared" si="8"/>
        <v>0.73892684424656485</v>
      </c>
      <c r="W17" s="318">
        <f t="shared" si="12"/>
        <v>2.545679960479284E-2</v>
      </c>
      <c r="X17" s="544">
        <v>65135</v>
      </c>
      <c r="Y17" s="194">
        <v>1</v>
      </c>
      <c r="Z17" s="193">
        <f t="shared" si="13"/>
        <v>3.4037796664729662E-2</v>
      </c>
    </row>
    <row r="18" spans="1:26">
      <c r="A18" s="50" t="s">
        <v>166</v>
      </c>
      <c r="B18" s="51" t="s">
        <v>167</v>
      </c>
      <c r="C18" s="677">
        <v>102136</v>
      </c>
      <c r="D18" s="664">
        <f t="shared" si="0"/>
        <v>-2.3219587605428877</v>
      </c>
      <c r="E18" s="667">
        <f t="shared" si="9"/>
        <v>-0.79040815564899358</v>
      </c>
      <c r="F18" s="652">
        <v>254151</v>
      </c>
      <c r="G18" s="311">
        <f t="shared" si="1"/>
        <v>-5.7778661877372857</v>
      </c>
      <c r="H18" s="313">
        <f t="shared" si="10"/>
        <v>7.8179997050907002E-2</v>
      </c>
      <c r="I18" s="451">
        <v>306984</v>
      </c>
      <c r="J18" s="170">
        <f t="shared" si="2"/>
        <v>-6.9789710596312551</v>
      </c>
      <c r="K18" s="314">
        <f t="shared" si="11"/>
        <v>6.1479982416209132E-2</v>
      </c>
      <c r="L18" s="474">
        <v>208237</v>
      </c>
      <c r="M18" s="174">
        <f t="shared" si="3"/>
        <v>-4.7340577898015326</v>
      </c>
      <c r="N18" s="315">
        <f t="shared" si="4"/>
        <v>6.1874254751244022E-2</v>
      </c>
      <c r="O18" s="495">
        <v>272389</v>
      </c>
      <c r="P18" s="178">
        <f t="shared" si="5"/>
        <v>-6.1924886898401796</v>
      </c>
      <c r="Q18" s="319">
        <f t="shared" si="19"/>
        <v>0.12425524810313784</v>
      </c>
      <c r="R18" s="516">
        <v>28280</v>
      </c>
      <c r="S18" s="185">
        <f t="shared" si="6"/>
        <v>-0.64291722554391073</v>
      </c>
      <c r="T18" s="317">
        <f t="shared" si="7"/>
        <v>1.4765249244507932E-2</v>
      </c>
      <c r="U18" s="532">
        <v>10233</v>
      </c>
      <c r="V18" s="556">
        <f t="shared" si="8"/>
        <v>-0.23263691545229273</v>
      </c>
      <c r="W18" s="318">
        <f t="shared" si="12"/>
        <v>5.4124128476178085E-3</v>
      </c>
      <c r="X18" s="543">
        <v>-43987</v>
      </c>
      <c r="Y18" s="194">
        <v>1</v>
      </c>
      <c r="Z18" s="193">
        <f t="shared" si="13"/>
        <v>-2.298642146144874E-2</v>
      </c>
    </row>
    <row r="19" spans="1:26">
      <c r="A19" s="50" t="s">
        <v>168</v>
      </c>
      <c r="B19" s="51" t="s">
        <v>169</v>
      </c>
      <c r="C19" s="677">
        <v>-17098</v>
      </c>
      <c r="D19" s="664">
        <f t="shared" si="0"/>
        <v>4.797418630751964</v>
      </c>
      <c r="E19" s="667">
        <f t="shared" si="9"/>
        <v>-3.2006344481867316E-2</v>
      </c>
      <c r="F19" s="654">
        <v>-3269</v>
      </c>
      <c r="G19" s="311">
        <f t="shared" si="1"/>
        <v>0.91722783389450058</v>
      </c>
      <c r="H19" s="313">
        <f t="shared" si="10"/>
        <v>-1.5967886974864711E-4</v>
      </c>
      <c r="I19" s="453">
        <v>-627</v>
      </c>
      <c r="J19" s="170">
        <f t="shared" si="2"/>
        <v>0.17592592592592593</v>
      </c>
      <c r="K19" s="314">
        <f t="shared" si="11"/>
        <v>-1.2556989606938188E-4</v>
      </c>
      <c r="L19" s="472">
        <v>-5341</v>
      </c>
      <c r="M19" s="174">
        <f t="shared" si="3"/>
        <v>1.4985970819304153</v>
      </c>
      <c r="N19" s="315">
        <f t="shared" si="4"/>
        <v>-1.5869917191776405E-3</v>
      </c>
      <c r="O19" s="493">
        <v>-76547</v>
      </c>
      <c r="P19" s="178">
        <f t="shared" si="5"/>
        <v>21.477833894500563</v>
      </c>
      <c r="Q19" s="181">
        <f t="shared" si="19"/>
        <v>-3.4918320771216503E-2</v>
      </c>
      <c r="R19" s="514">
        <v>-7432</v>
      </c>
      <c r="S19" s="185">
        <f t="shared" si="6"/>
        <v>2.085297418630752</v>
      </c>
      <c r="T19" s="317">
        <f t="shared" si="7"/>
        <v>-3.8803158552044893E-3</v>
      </c>
      <c r="U19" s="530">
        <v>-10694</v>
      </c>
      <c r="V19" s="556">
        <f t="shared" si="8"/>
        <v>3.0005611672278341</v>
      </c>
      <c r="W19" s="318">
        <f t="shared" si="12"/>
        <v>-5.6562438182766383E-3</v>
      </c>
      <c r="X19" s="543">
        <v>-3564</v>
      </c>
      <c r="Y19" s="194">
        <v>1</v>
      </c>
      <c r="Z19" s="193">
        <f t="shared" si="13"/>
        <v>-1.8624504078160208E-3</v>
      </c>
    </row>
    <row r="20" spans="1:26">
      <c r="A20" s="96" t="s">
        <v>170</v>
      </c>
      <c r="B20" s="95" t="s">
        <v>171</v>
      </c>
      <c r="C20" s="677">
        <v>85038</v>
      </c>
      <c r="D20" s="664">
        <f t="shared" si="0"/>
        <v>-1.7883535572332863</v>
      </c>
      <c r="E20" s="667">
        <f t="shared" si="9"/>
        <v>-14.673178149491168</v>
      </c>
      <c r="F20" s="655">
        <v>250882</v>
      </c>
      <c r="G20" s="411">
        <f t="shared" si="1"/>
        <v>-5.2760614918718849</v>
      </c>
      <c r="H20" s="412">
        <f t="shared" si="10"/>
        <v>7.8020318181158357E-2</v>
      </c>
      <c r="I20" s="454">
        <v>306357</v>
      </c>
      <c r="J20" s="413">
        <f t="shared" si="2"/>
        <v>-6.44270362347795</v>
      </c>
      <c r="K20" s="414">
        <f t="shared" si="11"/>
        <v>6.1354412520139748E-2</v>
      </c>
      <c r="L20" s="475">
        <v>202896</v>
      </c>
      <c r="M20" s="415">
        <f t="shared" si="3"/>
        <v>-4.266913419276146</v>
      </c>
      <c r="N20" s="416">
        <f t="shared" si="4"/>
        <v>6.0287263032066385E-2</v>
      </c>
      <c r="O20" s="496">
        <v>195842</v>
      </c>
      <c r="P20" s="417">
        <f t="shared" si="5"/>
        <v>-4.1185674328615596</v>
      </c>
      <c r="Q20" s="425">
        <f t="shared" si="19"/>
        <v>8.9336927331921334E-2</v>
      </c>
      <c r="R20" s="517">
        <v>20848</v>
      </c>
      <c r="S20" s="418">
        <f t="shared" si="6"/>
        <v>-0.43843452293327162</v>
      </c>
      <c r="T20" s="419">
        <f t="shared" si="7"/>
        <v>1.0884933389303443E-2</v>
      </c>
      <c r="U20" s="533">
        <v>-461</v>
      </c>
      <c r="V20" s="557">
        <f t="shared" si="8"/>
        <v>9.6948539462892482E-3</v>
      </c>
      <c r="W20" s="420">
        <f t="shared" si="12"/>
        <v>-2.4383097065883022E-4</v>
      </c>
      <c r="X20" s="547">
        <v>-47551</v>
      </c>
      <c r="Y20" s="421">
        <v>1</v>
      </c>
      <c r="Z20" s="422">
        <f t="shared" si="13"/>
        <v>-2.4848871869264759E-2</v>
      </c>
    </row>
    <row r="21" spans="1:26">
      <c r="A21" s="423" t="s">
        <v>172</v>
      </c>
      <c r="B21" s="644" t="s">
        <v>173</v>
      </c>
      <c r="C21" s="675">
        <v>85038</v>
      </c>
      <c r="D21" s="664">
        <f t="shared" si="0"/>
        <v>-1.7883535572332863</v>
      </c>
      <c r="E21" s="667">
        <f t="shared" si="9"/>
        <v>2.9502340130294691</v>
      </c>
      <c r="F21" s="656">
        <v>250882</v>
      </c>
      <c r="G21" s="398">
        <f t="shared" si="1"/>
        <v>-5.2760614918718849</v>
      </c>
      <c r="H21" s="399">
        <f t="shared" si="10"/>
        <v>7.8020318181158357E-2</v>
      </c>
      <c r="I21" s="455">
        <v>306357</v>
      </c>
      <c r="J21" s="400">
        <f t="shared" si="2"/>
        <v>-6.44270362347795</v>
      </c>
      <c r="K21" s="401">
        <f t="shared" si="11"/>
        <v>6.1354412520139748E-2</v>
      </c>
      <c r="L21" s="476">
        <v>202896</v>
      </c>
      <c r="M21" s="402">
        <f t="shared" si="3"/>
        <v>-4.266913419276146</v>
      </c>
      <c r="N21" s="403">
        <f t="shared" si="4"/>
        <v>6.0287263032066385E-2</v>
      </c>
      <c r="O21" s="497">
        <v>195842</v>
      </c>
      <c r="P21" s="404">
        <f t="shared" si="5"/>
        <v>-4.1185674328615596</v>
      </c>
      <c r="Q21" s="424">
        <f t="shared" si="19"/>
        <v>8.9336927331921334E-2</v>
      </c>
      <c r="R21" s="518">
        <v>20848</v>
      </c>
      <c r="S21" s="405">
        <f t="shared" si="6"/>
        <v>-0.43843452293327162</v>
      </c>
      <c r="T21" s="406">
        <f t="shared" si="7"/>
        <v>1.0884933389303443E-2</v>
      </c>
      <c r="U21" s="558">
        <v>-461</v>
      </c>
      <c r="V21" s="407">
        <f t="shared" si="8"/>
        <v>9.6948539462892482E-3</v>
      </c>
      <c r="W21" s="408">
        <f t="shared" si="12"/>
        <v>-2.4383097065883022E-4</v>
      </c>
      <c r="X21" s="548">
        <v>-47551</v>
      </c>
      <c r="Y21" s="409">
        <v>1</v>
      </c>
      <c r="Z21" s="410">
        <f t="shared" si="13"/>
        <v>-2.4848871869264759E-2</v>
      </c>
    </row>
    <row r="22" spans="1:26">
      <c r="A22" s="397" t="s">
        <v>174</v>
      </c>
      <c r="B22" s="645" t="s">
        <v>175</v>
      </c>
      <c r="C22" s="679">
        <v>80378</v>
      </c>
      <c r="D22" s="665">
        <f t="shared" si="0"/>
        <v>-1.6903535151731826</v>
      </c>
      <c r="E22" s="667">
        <f t="shared" si="9"/>
        <v>2.901761565417813</v>
      </c>
      <c r="F22" s="657">
        <v>246760</v>
      </c>
      <c r="G22" s="426">
        <f t="shared" si="1"/>
        <v>-5.1893756177577757</v>
      </c>
      <c r="H22" s="427">
        <f t="shared" si="10"/>
        <v>7.71951833518352E-2</v>
      </c>
      <c r="I22" s="456">
        <v>303117</v>
      </c>
      <c r="J22" s="428">
        <f t="shared" si="2"/>
        <v>-6.3745662551786504</v>
      </c>
      <c r="K22" s="429">
        <f t="shared" si="11"/>
        <v>6.0705534588297964E-2</v>
      </c>
      <c r="L22" s="477">
        <v>200258</v>
      </c>
      <c r="M22" s="430">
        <f t="shared" si="3"/>
        <v>-4.2114361422472717</v>
      </c>
      <c r="N22" s="431">
        <f t="shared" si="4"/>
        <v>5.9503424021545764E-2</v>
      </c>
      <c r="O22" s="498">
        <v>190971</v>
      </c>
      <c r="P22" s="432">
        <f t="shared" si="5"/>
        <v>-4.0161300498412231</v>
      </c>
      <c r="Q22" s="433">
        <f t="shared" si="19"/>
        <v>8.7114931166472717E-2</v>
      </c>
      <c r="R22" s="519">
        <v>16459</v>
      </c>
      <c r="S22" s="434">
        <f t="shared" si="6"/>
        <v>-0.34613362495005362</v>
      </c>
      <c r="T22" s="435">
        <f t="shared" si="7"/>
        <v>8.5933959446731281E-3</v>
      </c>
      <c r="U22" s="559">
        <v>-461</v>
      </c>
      <c r="V22" s="436">
        <f t="shared" si="8"/>
        <v>9.6948539462892482E-3</v>
      </c>
      <c r="W22" s="437">
        <f t="shared" si="12"/>
        <v>-2.4383097065883022E-4</v>
      </c>
      <c r="X22" s="549">
        <v>-47551</v>
      </c>
      <c r="Y22" s="438">
        <v>1</v>
      </c>
      <c r="Z22" s="439">
        <f t="shared" si="13"/>
        <v>-2.4848871869264759E-2</v>
      </c>
    </row>
    <row r="23" spans="1:26">
      <c r="A23" s="61" t="s">
        <v>176</v>
      </c>
      <c r="B23" s="59" t="s">
        <v>177</v>
      </c>
      <c r="C23" s="680"/>
      <c r="D23" s="668"/>
      <c r="E23" s="669"/>
      <c r="F23" s="658"/>
      <c r="G23" s="440"/>
      <c r="H23" s="441"/>
      <c r="I23" s="457"/>
      <c r="J23" s="462"/>
      <c r="K23" s="463"/>
      <c r="L23" s="478"/>
      <c r="M23" s="483"/>
      <c r="N23" s="484"/>
      <c r="O23" s="499"/>
      <c r="P23" s="504"/>
      <c r="Q23" s="505"/>
      <c r="R23" s="520"/>
      <c r="S23" s="520"/>
      <c r="T23" s="521"/>
      <c r="U23" s="534"/>
      <c r="V23" s="534"/>
      <c r="W23" s="537"/>
      <c r="X23" s="550"/>
      <c r="Y23" s="550"/>
      <c r="Z23" s="553"/>
    </row>
    <row r="24" spans="1:26">
      <c r="A24" s="62" t="s">
        <v>179</v>
      </c>
      <c r="B24" s="63" t="s">
        <v>180</v>
      </c>
      <c r="C24" s="681"/>
      <c r="D24" s="670"/>
      <c r="E24" s="671"/>
      <c r="F24" s="659"/>
      <c r="G24" s="442"/>
      <c r="H24" s="443"/>
      <c r="I24" s="458"/>
      <c r="J24" s="464"/>
      <c r="K24" s="465"/>
      <c r="L24" s="479"/>
      <c r="M24" s="485"/>
      <c r="N24" s="486"/>
      <c r="O24" s="500"/>
      <c r="P24" s="506"/>
      <c r="Q24" s="507"/>
      <c r="R24" s="522"/>
      <c r="S24" s="522"/>
      <c r="T24" s="523"/>
      <c r="U24" s="535"/>
      <c r="V24" s="535"/>
      <c r="W24" s="189"/>
      <c r="X24" s="551"/>
      <c r="Y24" s="551"/>
      <c r="Z24" s="554"/>
    </row>
    <row r="25" spans="1:26">
      <c r="A25" s="62" t="s">
        <v>181</v>
      </c>
      <c r="B25" s="63" t="s">
        <v>182</v>
      </c>
      <c r="C25" s="681"/>
      <c r="D25" s="670"/>
      <c r="E25" s="671"/>
      <c r="F25" s="660">
        <v>1.7617</v>
      </c>
      <c r="G25" s="442"/>
      <c r="H25" s="443"/>
      <c r="I25" s="459">
        <v>2.1673</v>
      </c>
      <c r="J25" s="464"/>
      <c r="K25" s="465"/>
      <c r="L25" s="480">
        <v>1.4287000000000001</v>
      </c>
      <c r="M25" s="485"/>
      <c r="N25" s="486"/>
      <c r="O25" s="501">
        <v>1.4024000000000001</v>
      </c>
      <c r="P25" s="506"/>
      <c r="Q25" s="507"/>
      <c r="R25" s="522"/>
      <c r="S25" s="522"/>
      <c r="T25" s="523"/>
      <c r="U25" s="535"/>
      <c r="V25" s="535"/>
      <c r="W25" s="189"/>
      <c r="X25" s="551"/>
      <c r="Y25" s="551"/>
      <c r="Z25" s="554"/>
    </row>
    <row r="26" spans="1:26">
      <c r="A26" s="62" t="s">
        <v>183</v>
      </c>
      <c r="B26" s="63" t="s">
        <v>184</v>
      </c>
      <c r="C26" s="686" t="s">
        <v>185</v>
      </c>
      <c r="D26" s="670"/>
      <c r="E26" s="671"/>
      <c r="F26" s="661"/>
      <c r="G26" s="442"/>
      <c r="H26" s="443"/>
      <c r="I26" s="460"/>
      <c r="J26" s="464"/>
      <c r="K26" s="465"/>
      <c r="L26" s="481"/>
      <c r="M26" s="485"/>
      <c r="N26" s="486"/>
      <c r="O26" s="502"/>
      <c r="P26" s="506"/>
      <c r="Q26" s="507"/>
      <c r="R26" s="522"/>
      <c r="S26" s="522"/>
      <c r="T26" s="523"/>
      <c r="U26" s="535"/>
      <c r="V26" s="535"/>
      <c r="W26" s="189"/>
      <c r="X26" s="551"/>
      <c r="Y26" s="551"/>
      <c r="Z26" s="554"/>
    </row>
    <row r="27" spans="1:26">
      <c r="A27" s="69" t="s">
        <v>186</v>
      </c>
      <c r="B27" s="70" t="s">
        <v>182</v>
      </c>
      <c r="C27" s="687" t="s">
        <v>187</v>
      </c>
      <c r="D27" s="685"/>
      <c r="E27" s="672"/>
      <c r="F27" s="662">
        <v>1.7583</v>
      </c>
      <c r="G27" s="444"/>
      <c r="H27" s="445"/>
      <c r="I27" s="461">
        <v>2.1638000000000002</v>
      </c>
      <c r="J27" s="466"/>
      <c r="K27" s="467"/>
      <c r="L27" s="482">
        <v>1.4234</v>
      </c>
      <c r="M27" s="487"/>
      <c r="N27" s="488"/>
      <c r="O27" s="503">
        <v>1.4005000000000001</v>
      </c>
      <c r="P27" s="508"/>
      <c r="Q27" s="509"/>
      <c r="R27" s="524"/>
      <c r="S27" s="524"/>
      <c r="T27" s="525"/>
      <c r="U27" s="536"/>
      <c r="V27" s="536"/>
      <c r="W27" s="538"/>
      <c r="X27" s="552"/>
      <c r="Y27" s="552"/>
      <c r="Z27" s="555"/>
    </row>
  </sheetData>
  <mergeCells count="1">
    <mergeCell ref="A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1E26-DD80-1F47-AF75-3ECC3BB0A1B7}">
  <dimension ref="B2:AG88"/>
  <sheetViews>
    <sheetView zoomScale="82" workbookViewId="0">
      <selection activeCell="D14" sqref="D14"/>
    </sheetView>
  </sheetViews>
  <sheetFormatPr defaultColWidth="10.7109375" defaultRowHeight="15"/>
  <cols>
    <col min="1" max="1" width="10.7109375" style="75"/>
    <col min="2" max="2" width="40.140625" style="75" bestFit="1" customWidth="1"/>
    <col min="3" max="4" width="13.85546875" style="75" bestFit="1" customWidth="1"/>
    <col min="5" max="5" width="14.140625" style="75" bestFit="1" customWidth="1"/>
    <col min="6" max="6" width="11.7109375" style="75" bestFit="1" customWidth="1"/>
    <col min="7" max="7" width="12.28515625" style="75" bestFit="1" customWidth="1"/>
    <col min="8" max="9" width="11.7109375" style="75" bestFit="1" customWidth="1"/>
    <col min="10" max="10" width="14.42578125" style="75" bestFit="1" customWidth="1"/>
    <col min="11" max="11" width="10.7109375" style="75"/>
    <col min="12" max="12" width="45.140625" style="75" bestFit="1" customWidth="1"/>
    <col min="13" max="13" width="12.140625" style="75" bestFit="1" customWidth="1"/>
    <col min="14" max="14" width="15.7109375" style="75" bestFit="1" customWidth="1"/>
    <col min="15" max="15" width="17.85546875" style="75" bestFit="1" customWidth="1"/>
    <col min="16" max="16" width="15.7109375" style="75" bestFit="1" customWidth="1"/>
    <col min="17" max="17" width="15.140625" style="75" bestFit="1" customWidth="1"/>
    <col min="18" max="18" width="16.140625" style="75" bestFit="1" customWidth="1"/>
    <col min="19" max="20" width="15.7109375" style="75" bestFit="1" customWidth="1"/>
    <col min="21" max="21" width="15" style="75" bestFit="1" customWidth="1"/>
    <col min="22" max="22" width="45.42578125" style="75" bestFit="1" customWidth="1"/>
    <col min="23" max="23" width="17.5703125" style="75" bestFit="1" customWidth="1"/>
    <col min="24" max="24" width="38.7109375" style="75" customWidth="1"/>
    <col min="25" max="25" width="28.28515625" style="75" customWidth="1"/>
    <col min="26" max="26" width="27.28515625" style="75" customWidth="1"/>
    <col min="27" max="27" width="24" style="75" customWidth="1"/>
    <col min="28" max="28" width="25" style="75" customWidth="1"/>
    <col min="29" max="30" width="23.42578125" style="75" customWidth="1"/>
    <col min="31" max="31" width="10.7109375" style="75"/>
    <col min="32" max="32" width="12.7109375" style="75" customWidth="1"/>
    <col min="33" max="33" width="20.28515625" style="75" customWidth="1"/>
    <col min="34" max="16384" width="10.7109375" style="75"/>
  </cols>
  <sheetData>
    <row r="2" spans="2:33">
      <c r="B2" s="73"/>
      <c r="C2" s="73" t="s">
        <v>310</v>
      </c>
      <c r="D2" s="74" t="s">
        <v>311</v>
      </c>
      <c r="E2" s="74" t="s">
        <v>312</v>
      </c>
      <c r="F2" s="74" t="s">
        <v>313</v>
      </c>
      <c r="G2" s="74" t="s">
        <v>314</v>
      </c>
      <c r="H2" s="74" t="s">
        <v>315</v>
      </c>
      <c r="I2" s="74" t="s">
        <v>316</v>
      </c>
      <c r="J2" s="74" t="s">
        <v>317</v>
      </c>
      <c r="L2" s="76"/>
      <c r="M2" s="76" t="s">
        <v>310</v>
      </c>
      <c r="N2" s="76" t="s">
        <v>311</v>
      </c>
      <c r="O2" s="74" t="s">
        <v>312</v>
      </c>
      <c r="P2" s="74" t="s">
        <v>313</v>
      </c>
      <c r="Q2" s="77" t="s">
        <v>314</v>
      </c>
      <c r="R2" s="77" t="s">
        <v>315</v>
      </c>
      <c r="S2" s="77" t="s">
        <v>316</v>
      </c>
      <c r="T2" s="280" t="s">
        <v>317</v>
      </c>
      <c r="V2" s="73"/>
      <c r="W2" s="73" t="s">
        <v>310</v>
      </c>
      <c r="X2" s="73" t="s">
        <v>311</v>
      </c>
      <c r="Y2" s="74" t="s">
        <v>312</v>
      </c>
      <c r="Z2" s="74" t="s">
        <v>313</v>
      </c>
      <c r="AA2" s="74" t="s">
        <v>314</v>
      </c>
      <c r="AB2" s="74" t="s">
        <v>315</v>
      </c>
      <c r="AC2" s="74" t="s">
        <v>316</v>
      </c>
      <c r="AD2" s="74" t="s">
        <v>317</v>
      </c>
    </row>
    <row r="3" spans="2:33">
      <c r="B3" s="272" t="s">
        <v>318</v>
      </c>
      <c r="C3" s="290">
        <f>(C4+C5)/(C6+C7)</f>
        <v>1.3235470951119266</v>
      </c>
      <c r="D3" s="290">
        <f>(D4+D5)/(D6+D7)</f>
        <v>1.3658172456275628</v>
      </c>
      <c r="E3" s="290">
        <f>(E4+E5)/(E6+E7)</f>
        <v>1.3652862622404471</v>
      </c>
      <c r="F3" s="290">
        <f t="shared" ref="F3" si="0">(F4+F5)/(F6+F7)</f>
        <v>1.345016764011312</v>
      </c>
      <c r="G3" s="290">
        <f>(G4+G5)/(G6+G7)</f>
        <v>1.4227330550930311</v>
      </c>
      <c r="H3" s="290">
        <f t="shared" ref="H3" si="1">(H4+H5)/(H6+H7)</f>
        <v>1.1897206048020894</v>
      </c>
      <c r="I3" s="290">
        <f>(I4+I5)/(I6+I7)</f>
        <v>1.2591853369083501</v>
      </c>
      <c r="J3" s="291">
        <f>(J4+J5)/(J6+J7)</f>
        <v>1.2717013011982234</v>
      </c>
      <c r="L3" s="273" t="s">
        <v>144</v>
      </c>
      <c r="M3" s="292">
        <f>M4/M5</f>
        <v>0.25053018632300939</v>
      </c>
      <c r="N3" s="292">
        <f>N4/N5</f>
        <v>0.27059558181046295</v>
      </c>
      <c r="O3" s="292">
        <f>O4/O5</f>
        <v>0.23967568119665908</v>
      </c>
      <c r="P3" s="292">
        <f t="shared" ref="P3:R3" si="2">P4/P5</f>
        <v>0.22837883492047362</v>
      </c>
      <c r="Q3" s="292">
        <f>Q4/Q5</f>
        <v>0.20470373460488747</v>
      </c>
      <c r="R3" s="292">
        <f t="shared" si="2"/>
        <v>0.25066882193360024</v>
      </c>
      <c r="S3" s="292">
        <f>S4/S5</f>
        <v>0.23997251744634396</v>
      </c>
      <c r="T3" s="293">
        <f>T4/T5</f>
        <v>0.25781089961998488</v>
      </c>
      <c r="V3" s="272" t="s">
        <v>319</v>
      </c>
      <c r="W3" s="290">
        <f>W4/W5</f>
        <v>8.6375973094381331E-2</v>
      </c>
      <c r="X3" s="290">
        <f>X4/X5</f>
        <v>3.9338334356390656E-2</v>
      </c>
      <c r="Y3" s="290">
        <f>Y4/Y5</f>
        <v>4.3462431085302441E-2</v>
      </c>
      <c r="Z3" s="290">
        <f t="shared" ref="Z3" si="3">Z4/Z5</f>
        <v>7.6177943379859628E-2</v>
      </c>
      <c r="AA3" s="290">
        <f>AA4/AA5</f>
        <v>3.6926706222362923E-2</v>
      </c>
      <c r="AB3" s="290">
        <f t="shared" ref="AB3:AC3" si="4">AB4/AB5</f>
        <v>0.42914524174980812</v>
      </c>
      <c r="AC3" s="290">
        <f t="shared" si="4"/>
        <v>-4.2662039045553151</v>
      </c>
      <c r="AD3" s="290">
        <f>AD4/AD5</f>
        <v>-5.7424239237870919E-2</v>
      </c>
      <c r="AF3" s="107"/>
    </row>
    <row r="4" spans="2:33">
      <c r="B4" s="73" t="s">
        <v>5</v>
      </c>
      <c r="C4" s="698">
        <v>2967747</v>
      </c>
      <c r="D4" s="560">
        <v>3575173</v>
      </c>
      <c r="E4" s="560">
        <v>3430062</v>
      </c>
      <c r="F4" s="561">
        <v>3120040</v>
      </c>
      <c r="G4" s="560">
        <v>2211237</v>
      </c>
      <c r="H4" s="562">
        <v>1471763</v>
      </c>
      <c r="I4" s="563">
        <v>1418740</v>
      </c>
      <c r="J4" s="564">
        <v>1411332</v>
      </c>
      <c r="L4" s="78" t="s">
        <v>320</v>
      </c>
      <c r="M4" s="704">
        <v>924037</v>
      </c>
      <c r="N4" s="79">
        <f>DRE!D5</f>
        <v>1062529</v>
      </c>
      <c r="O4" s="79">
        <f>DRE!E5</f>
        <v>1196757</v>
      </c>
      <c r="P4" s="79">
        <f>DRE!F5</f>
        <v>768606</v>
      </c>
      <c r="Q4" s="79">
        <f>DRE!G5</f>
        <v>448746</v>
      </c>
      <c r="R4" s="79">
        <f>DRE!H5</f>
        <v>480108</v>
      </c>
      <c r="S4" s="79">
        <f>DRE!I5</f>
        <v>453705</v>
      </c>
      <c r="T4" s="76">
        <f>DRE!J5</f>
        <v>493349</v>
      </c>
      <c r="V4" s="73" t="s">
        <v>321</v>
      </c>
      <c r="W4" s="73">
        <f>AG7*W38</f>
        <v>734524</v>
      </c>
      <c r="X4" s="74">
        <f>AG8*$Y$38</f>
        <v>986928</v>
      </c>
      <c r="Y4" s="74">
        <f>$AG$9*$Y$38</f>
        <v>1331502</v>
      </c>
      <c r="Z4" s="74">
        <f>$AG$10*$Z$38</f>
        <v>1545620</v>
      </c>
      <c r="AA4" s="74">
        <f>$AG$11*$AA$38</f>
        <v>723180</v>
      </c>
      <c r="AB4" s="74">
        <f>$AG$12*$AB$38</f>
        <v>894682</v>
      </c>
      <c r="AC4" s="74">
        <f>$AG$13*$AC$38</f>
        <v>196672.00000000003</v>
      </c>
      <c r="AD4" s="74">
        <f>$AG$14*$AD$38</f>
        <v>273058</v>
      </c>
      <c r="AG4" s="108"/>
    </row>
    <row r="5" spans="2:33">
      <c r="B5" s="73" t="s">
        <v>32</v>
      </c>
      <c r="C5" s="602">
        <v>765802</v>
      </c>
      <c r="D5" s="565">
        <v>502346</v>
      </c>
      <c r="E5" s="565">
        <v>383872</v>
      </c>
      <c r="F5" s="565">
        <v>339982</v>
      </c>
      <c r="G5" s="565">
        <v>337585</v>
      </c>
      <c r="H5" s="566">
        <v>206351</v>
      </c>
      <c r="I5" s="567">
        <v>192540</v>
      </c>
      <c r="J5" s="568">
        <v>149661</v>
      </c>
      <c r="L5" s="78" t="s">
        <v>322</v>
      </c>
      <c r="M5" s="617">
        <v>3688326</v>
      </c>
      <c r="N5" s="79">
        <f>DRE!D3</f>
        <v>3926631</v>
      </c>
      <c r="O5" s="79">
        <f>DRE!E3</f>
        <v>4993235</v>
      </c>
      <c r="P5" s="79">
        <f>DRE!F3</f>
        <v>3365487</v>
      </c>
      <c r="Q5" s="79">
        <f>DRE!G3</f>
        <v>2192173</v>
      </c>
      <c r="R5" s="79">
        <f>DRE!H3</f>
        <v>1915308</v>
      </c>
      <c r="S5" s="79">
        <f>DRE!I3</f>
        <v>1890654</v>
      </c>
      <c r="T5" s="76">
        <f>DRE!J3</f>
        <v>1913608</v>
      </c>
      <c r="V5" s="73" t="s">
        <v>323</v>
      </c>
      <c r="W5" s="73">
        <f>DRE!C21*100</f>
        <v>8503800</v>
      </c>
      <c r="X5" s="92">
        <f>DRE!D21*100</f>
        <v>25088200</v>
      </c>
      <c r="Y5" s="92">
        <f>DRE!E21*100</f>
        <v>30635700</v>
      </c>
      <c r="Z5" s="92">
        <f>DRE!F21*100</f>
        <v>20289600</v>
      </c>
      <c r="AA5" s="92">
        <f>DRE!G21*100</f>
        <v>19584200</v>
      </c>
      <c r="AB5" s="92">
        <f>DRE!H21*100</f>
        <v>2084800</v>
      </c>
      <c r="AC5" s="92">
        <f>DRE!I21*100</f>
        <v>-46100</v>
      </c>
      <c r="AD5" s="92">
        <f>DRE!J21*100</f>
        <v>-4755100</v>
      </c>
    </row>
    <row r="6" spans="2:33">
      <c r="B6" s="73" t="s">
        <v>324</v>
      </c>
      <c r="C6" s="699">
        <v>1503102</v>
      </c>
      <c r="D6" s="569">
        <v>1934265</v>
      </c>
      <c r="E6" s="569">
        <v>1773213</v>
      </c>
      <c r="F6" s="560">
        <v>1937651</v>
      </c>
      <c r="G6" s="560">
        <v>1370932</v>
      </c>
      <c r="H6" s="562">
        <v>1178943</v>
      </c>
      <c r="I6" s="570">
        <v>1111886</v>
      </c>
      <c r="J6" s="568">
        <v>1090782</v>
      </c>
      <c r="N6" s="312"/>
      <c r="AF6" s="803" t="s">
        <v>325</v>
      </c>
      <c r="AG6" s="804"/>
    </row>
    <row r="7" spans="2:33">
      <c r="B7" s="80" t="s">
        <v>326</v>
      </c>
      <c r="C7" s="702">
        <v>1317764</v>
      </c>
      <c r="D7" s="574">
        <v>1051141</v>
      </c>
      <c r="E7" s="574">
        <v>1020292</v>
      </c>
      <c r="F7" s="574">
        <v>634824</v>
      </c>
      <c r="G7" s="574">
        <v>420565</v>
      </c>
      <c r="H7" s="575">
        <v>231568</v>
      </c>
      <c r="I7" s="570">
        <v>167735</v>
      </c>
      <c r="J7" s="568">
        <v>136702</v>
      </c>
      <c r="L7" s="73"/>
      <c r="M7" s="73" t="s">
        <v>310</v>
      </c>
      <c r="N7" s="73" t="s">
        <v>311</v>
      </c>
      <c r="O7" s="74" t="s">
        <v>312</v>
      </c>
      <c r="P7" s="74" t="s">
        <v>313</v>
      </c>
      <c r="Q7" s="77" t="s">
        <v>314</v>
      </c>
      <c r="R7" s="77" t="s">
        <v>315</v>
      </c>
      <c r="S7" s="77" t="s">
        <v>316</v>
      </c>
      <c r="T7" s="280" t="s">
        <v>317</v>
      </c>
      <c r="V7" s="73"/>
      <c r="W7" s="73" t="s">
        <v>310</v>
      </c>
      <c r="X7" s="73" t="s">
        <v>311</v>
      </c>
      <c r="Y7" s="74" t="s">
        <v>312</v>
      </c>
      <c r="Z7" s="74" t="s">
        <v>313</v>
      </c>
      <c r="AA7" s="74" t="s">
        <v>314</v>
      </c>
      <c r="AB7" s="74" t="s">
        <v>315</v>
      </c>
      <c r="AC7" s="74" t="s">
        <v>316</v>
      </c>
      <c r="AD7" s="74" t="s">
        <v>317</v>
      </c>
      <c r="AF7" s="690">
        <v>2024</v>
      </c>
      <c r="AG7" s="707">
        <v>5.18</v>
      </c>
    </row>
    <row r="8" spans="2:33">
      <c r="G8" s="82"/>
      <c r="H8" s="82"/>
      <c r="I8" s="82"/>
      <c r="J8" s="82"/>
      <c r="L8" s="272" t="s">
        <v>327</v>
      </c>
      <c r="M8" s="294">
        <f t="shared" ref="M8:T8" si="5">M9/M10</f>
        <v>2.3055988001060644E-2</v>
      </c>
      <c r="N8" s="294">
        <f t="shared" si="5"/>
        <v>6.3892430941435541E-2</v>
      </c>
      <c r="O8" s="294">
        <f t="shared" si="5"/>
        <v>6.1354412520139748E-2</v>
      </c>
      <c r="P8" s="290">
        <f t="shared" si="5"/>
        <v>6.0287263032066385E-2</v>
      </c>
      <c r="Q8" s="290">
        <f t="shared" si="5"/>
        <v>8.9336927331921334E-2</v>
      </c>
      <c r="R8" s="290">
        <f t="shared" si="5"/>
        <v>1.0884933389303443E-2</v>
      </c>
      <c r="S8" s="290">
        <f t="shared" si="5"/>
        <v>-2.4383097065883022E-4</v>
      </c>
      <c r="T8" s="290">
        <f t="shared" si="5"/>
        <v>-2.4848871869264759E-2</v>
      </c>
      <c r="V8" s="272" t="s">
        <v>328</v>
      </c>
      <c r="W8" s="290">
        <f>W9/W10</f>
        <v>116.5836202343996</v>
      </c>
      <c r="X8" s="290">
        <f>X9/X10</f>
        <v>152.71878132616357</v>
      </c>
      <c r="Y8" s="290">
        <f>Y9/Y10</f>
        <v>224.77958438744471</v>
      </c>
      <c r="Z8" s="290">
        <f t="shared" ref="Z8" si="6">Z9/Z10</f>
        <v>291.90327148510335</v>
      </c>
      <c r="AA8" s="290">
        <f>AA9/AA10</f>
        <v>181.522433871987</v>
      </c>
      <c r="AB8" s="290">
        <f t="shared" ref="AB8" si="7">AB9/AB10</f>
        <v>201.89410523166663</v>
      </c>
      <c r="AC8" s="290">
        <f t="shared" ref="AC8" si="8">AC9/AC10</f>
        <v>48.246777783427937</v>
      </c>
      <c r="AD8" s="290">
        <f>AD9/AD10</f>
        <v>69.136222726300119</v>
      </c>
      <c r="AF8" s="688">
        <v>2023</v>
      </c>
      <c r="AG8" s="689">
        <v>6.96</v>
      </c>
    </row>
    <row r="9" spans="2:33">
      <c r="B9" s="73"/>
      <c r="C9" s="73" t="s">
        <v>310</v>
      </c>
      <c r="D9" s="74" t="s">
        <v>311</v>
      </c>
      <c r="E9" s="74" t="s">
        <v>312</v>
      </c>
      <c r="F9" s="74" t="s">
        <v>313</v>
      </c>
      <c r="G9" s="74" t="s">
        <v>314</v>
      </c>
      <c r="H9" s="74" t="s">
        <v>315</v>
      </c>
      <c r="I9" s="74" t="s">
        <v>316</v>
      </c>
      <c r="J9" s="74" t="s">
        <v>317</v>
      </c>
      <c r="L9" s="73" t="s">
        <v>329</v>
      </c>
      <c r="M9" s="704">
        <v>85038</v>
      </c>
      <c r="N9" s="111">
        <f>DRE!D21</f>
        <v>250882</v>
      </c>
      <c r="O9" s="111">
        <f>DRE!E21</f>
        <v>306357</v>
      </c>
      <c r="P9" s="73">
        <f>DRE!F21</f>
        <v>202896</v>
      </c>
      <c r="Q9" s="73">
        <f>DRE!G21</f>
        <v>195842</v>
      </c>
      <c r="R9" s="73">
        <f>DRE!H21</f>
        <v>20848</v>
      </c>
      <c r="S9" s="73">
        <f>DRE!I21</f>
        <v>-461</v>
      </c>
      <c r="T9" s="73">
        <f>DRE!J21</f>
        <v>-47551</v>
      </c>
      <c r="V9" s="73" t="s">
        <v>330</v>
      </c>
      <c r="W9" s="73">
        <f>W4</f>
        <v>734524</v>
      </c>
      <c r="X9" s="74">
        <f>AG8*$Y$38</f>
        <v>986928</v>
      </c>
      <c r="Y9" s="74">
        <f>$AG$9*$Y$38</f>
        <v>1331502</v>
      </c>
      <c r="Z9" s="74">
        <f>$AG$10*$Z$38</f>
        <v>1545620</v>
      </c>
      <c r="AA9" s="74">
        <f>$AG$11*$AA$38</f>
        <v>723180</v>
      </c>
      <c r="AB9" s="74">
        <f>$AG$12*$AB$38</f>
        <v>894682</v>
      </c>
      <c r="AC9" s="74">
        <f>$AG$13*$AC$38</f>
        <v>196672.00000000003</v>
      </c>
      <c r="AD9" s="74">
        <f>$AG$14*$AD$38</f>
        <v>273058</v>
      </c>
      <c r="AF9" s="109">
        <v>2022</v>
      </c>
      <c r="AG9" s="110">
        <v>9.39</v>
      </c>
    </row>
    <row r="10" spans="2:33">
      <c r="B10" s="272" t="s">
        <v>331</v>
      </c>
      <c r="C10" s="290">
        <f>C11/C12</f>
        <v>1.9744149099661898</v>
      </c>
      <c r="D10" s="290">
        <f>D11/D12</f>
        <v>1.8483367067077159</v>
      </c>
      <c r="E10" s="290">
        <f>E11/E12</f>
        <v>1.934376750001269</v>
      </c>
      <c r="F10" s="290">
        <f t="shared" ref="F10:G10" si="9">F11/F12</f>
        <v>1.6102177327083154</v>
      </c>
      <c r="G10" s="290">
        <f t="shared" si="9"/>
        <v>1.6129443327604871</v>
      </c>
      <c r="H10" s="290">
        <f t="shared" ref="H10" si="10">H11/H12</f>
        <v>1.2483750274610392</v>
      </c>
      <c r="I10" s="290">
        <f>I11/I12</f>
        <v>1.2759761342439782</v>
      </c>
      <c r="J10" s="290">
        <f>J11/J12</f>
        <v>1.2938717360572507</v>
      </c>
      <c r="L10" s="73" t="s">
        <v>322</v>
      </c>
      <c r="M10" s="617">
        <v>3688326</v>
      </c>
      <c r="N10" s="111">
        <f>DRE!D3</f>
        <v>3926631</v>
      </c>
      <c r="O10" s="111">
        <f>DRE!E3</f>
        <v>4993235</v>
      </c>
      <c r="P10" s="73">
        <f>DRE!F3</f>
        <v>3365487</v>
      </c>
      <c r="Q10" s="73">
        <f>DRE!G3</f>
        <v>2192173</v>
      </c>
      <c r="R10" s="73">
        <f>DRE!H3</f>
        <v>1915308</v>
      </c>
      <c r="S10" s="73">
        <f>DRE!I3</f>
        <v>1890654</v>
      </c>
      <c r="T10" s="73">
        <f>T5</f>
        <v>1913608</v>
      </c>
      <c r="V10" s="73" t="s">
        <v>332</v>
      </c>
      <c r="W10" s="73">
        <f>W36</f>
        <v>6300.404795486601</v>
      </c>
      <c r="X10" s="74">
        <f>X36</f>
        <v>6462.3878702397742</v>
      </c>
      <c r="Y10" s="74">
        <f>Y36</f>
        <v>5923.5895627644568</v>
      </c>
      <c r="Z10" s="74">
        <f t="shared" ref="Z10:AC10" si="11">Z36</f>
        <v>5294.9732016925245</v>
      </c>
      <c r="AA10" s="74">
        <f t="shared" si="11"/>
        <v>3983.9703808180534</v>
      </c>
      <c r="AB10" s="74">
        <f t="shared" si="11"/>
        <v>4431.4419134396358</v>
      </c>
      <c r="AC10" s="74">
        <f t="shared" si="11"/>
        <v>4076.3758542141231</v>
      </c>
      <c r="AD10" s="74">
        <f>AD36</f>
        <v>3949.5649202733484</v>
      </c>
      <c r="AF10" s="109">
        <v>2021</v>
      </c>
      <c r="AG10" s="110">
        <v>10.9</v>
      </c>
    </row>
    <row r="11" spans="2:33">
      <c r="B11" s="73" t="s">
        <v>333</v>
      </c>
      <c r="C11" s="698">
        <v>2967747</v>
      </c>
      <c r="D11" s="560">
        <v>3575173</v>
      </c>
      <c r="E11" s="560">
        <v>3430062</v>
      </c>
      <c r="F11" s="561">
        <v>3120040</v>
      </c>
      <c r="G11" s="560">
        <v>2211237</v>
      </c>
      <c r="H11" s="562">
        <v>1471763</v>
      </c>
      <c r="I11" s="563">
        <v>1418740</v>
      </c>
      <c r="J11" s="564">
        <v>1411332</v>
      </c>
      <c r="O11" s="112"/>
      <c r="AF11" s="109">
        <v>2020</v>
      </c>
      <c r="AG11" s="110">
        <v>5.0999999999999996</v>
      </c>
    </row>
    <row r="12" spans="2:33">
      <c r="B12" s="73" t="s">
        <v>62</v>
      </c>
      <c r="C12" s="699">
        <v>1503102</v>
      </c>
      <c r="D12" s="569">
        <v>1934265</v>
      </c>
      <c r="E12" s="569">
        <v>1773213</v>
      </c>
      <c r="F12" s="560">
        <v>1937651</v>
      </c>
      <c r="G12" s="560">
        <v>1370932</v>
      </c>
      <c r="H12" s="562">
        <v>1178943</v>
      </c>
      <c r="I12" s="570">
        <v>1111886</v>
      </c>
      <c r="J12" s="568">
        <v>1090782</v>
      </c>
      <c r="L12" s="73"/>
      <c r="M12" s="73" t="s">
        <v>310</v>
      </c>
      <c r="N12" s="73" t="s">
        <v>311</v>
      </c>
      <c r="O12" s="113" t="s">
        <v>312</v>
      </c>
      <c r="P12" s="74" t="s">
        <v>313</v>
      </c>
      <c r="Q12" s="77" t="s">
        <v>314</v>
      </c>
      <c r="R12" s="77" t="s">
        <v>315</v>
      </c>
      <c r="S12" s="77" t="s">
        <v>316</v>
      </c>
      <c r="T12" s="280" t="s">
        <v>317</v>
      </c>
      <c r="V12" s="83"/>
      <c r="W12" s="83" t="s">
        <v>310</v>
      </c>
      <c r="X12" s="83" t="s">
        <v>311</v>
      </c>
      <c r="Y12" s="74" t="s">
        <v>312</v>
      </c>
      <c r="Z12" s="74" t="s">
        <v>313</v>
      </c>
      <c r="AA12" s="84" t="s">
        <v>314</v>
      </c>
      <c r="AB12" s="84" t="s">
        <v>315</v>
      </c>
      <c r="AC12" s="84" t="s">
        <v>316</v>
      </c>
      <c r="AD12" s="285" t="s">
        <v>317</v>
      </c>
      <c r="AF12" s="109">
        <v>2019</v>
      </c>
      <c r="AG12" s="110">
        <v>10.19</v>
      </c>
    </row>
    <row r="13" spans="2:33">
      <c r="G13" s="82"/>
      <c r="H13" s="82"/>
      <c r="I13" s="82"/>
      <c r="J13" s="82"/>
      <c r="L13" s="272" t="s">
        <v>334</v>
      </c>
      <c r="M13" s="294">
        <f t="shared" ref="M13:T13" si="12">M14/M15</f>
        <v>8.4618792760827021E-3</v>
      </c>
      <c r="N13" s="294">
        <f t="shared" si="12"/>
        <v>6.355071079390559E-2</v>
      </c>
      <c r="O13" s="294">
        <f t="shared" si="12"/>
        <v>6.1319091589649592E-2</v>
      </c>
      <c r="P13" s="290">
        <f t="shared" si="12"/>
        <v>5.9954175924211497E-2</v>
      </c>
      <c r="Q13" s="290">
        <f t="shared" si="12"/>
        <v>8.1676635704855588E-2</v>
      </c>
      <c r="R13" s="290">
        <f t="shared" si="12"/>
        <v>6.4522076460843403E-3</v>
      </c>
      <c r="S13" s="290">
        <f t="shared" si="12"/>
        <v>-2.6847467731496769E-2</v>
      </c>
      <c r="T13" s="290">
        <f t="shared" si="12"/>
        <v>-2.2090995512316199E-2</v>
      </c>
      <c r="V13" s="273" t="s">
        <v>335</v>
      </c>
      <c r="W13" s="296">
        <f>W14-W15</f>
        <v>3900058</v>
      </c>
      <c r="X13" s="296">
        <f>X14-X15</f>
        <v>3990458</v>
      </c>
      <c r="Y13" s="296">
        <f>Y14-Y15</f>
        <v>3773249</v>
      </c>
      <c r="Z13" s="296">
        <f t="shared" ref="Z13:AC13" si="13">Z14-Z15</f>
        <v>3395129</v>
      </c>
      <c r="AA13" s="296">
        <f t="shared" si="13"/>
        <v>2280473</v>
      </c>
      <c r="AB13" s="296">
        <f t="shared" si="13"/>
        <v>1484689</v>
      </c>
      <c r="AC13" s="296">
        <f t="shared" si="13"/>
        <v>1396181</v>
      </c>
      <c r="AD13" s="297">
        <f>AD14-AD15</f>
        <v>1346033</v>
      </c>
      <c r="AF13" s="109">
        <v>2018</v>
      </c>
      <c r="AG13" s="110">
        <v>2.2400000000000002</v>
      </c>
    </row>
    <row r="14" spans="2:33">
      <c r="G14" s="82"/>
      <c r="H14" s="82"/>
      <c r="I14" s="82"/>
      <c r="J14" s="82"/>
      <c r="L14" s="73" t="s">
        <v>336</v>
      </c>
      <c r="M14" s="73">
        <f>W19</f>
        <v>31210.169342837005</v>
      </c>
      <c r="N14" s="111">
        <f>X19</f>
        <v>249540.19107538433</v>
      </c>
      <c r="O14" s="111">
        <f>Y19</f>
        <v>306180.63429364399</v>
      </c>
      <c r="P14" s="73">
        <f>Z19</f>
        <v>201774.99966864678</v>
      </c>
      <c r="Q14" s="73">
        <f t="shared" ref="Q14:S14" si="14">AA19</f>
        <v>179049.3155230204</v>
      </c>
      <c r="R14" s="73">
        <f t="shared" si="14"/>
        <v>12357.964922206505</v>
      </c>
      <c r="S14" s="73">
        <f t="shared" si="14"/>
        <v>-50759.272256425291</v>
      </c>
      <c r="T14" s="73">
        <f>AD19</f>
        <v>-42273.505740332374</v>
      </c>
      <c r="V14" s="85" t="s">
        <v>337</v>
      </c>
      <c r="W14" s="692">
        <f>BP!C36</f>
        <v>4466987</v>
      </c>
      <c r="X14" s="104">
        <f>BP!D36</f>
        <v>4581833</v>
      </c>
      <c r="Y14" s="104">
        <f>BP!E36</f>
        <v>4199825</v>
      </c>
      <c r="Z14" s="104">
        <f>BP!F36</f>
        <v>3754136</v>
      </c>
      <c r="AA14" s="104">
        <f>BP!G36</f>
        <v>2824635</v>
      </c>
      <c r="AB14" s="104">
        <f>BP!H36</f>
        <v>1945403</v>
      </c>
      <c r="AC14" s="104">
        <f>BP!I36</f>
        <v>1789529</v>
      </c>
      <c r="AD14" s="286">
        <f>BP!J36</f>
        <v>1733859</v>
      </c>
      <c r="AF14" s="284">
        <v>2017</v>
      </c>
      <c r="AG14" s="101">
        <v>3.11</v>
      </c>
    </row>
    <row r="15" spans="2:33">
      <c r="B15" s="73"/>
      <c r="C15" s="73" t="s">
        <v>310</v>
      </c>
      <c r="D15" s="74" t="s">
        <v>311</v>
      </c>
      <c r="E15" s="74" t="s">
        <v>312</v>
      </c>
      <c r="F15" s="74" t="s">
        <v>313</v>
      </c>
      <c r="G15" s="74" t="s">
        <v>314</v>
      </c>
      <c r="H15" s="74" t="s">
        <v>315</v>
      </c>
      <c r="I15" s="74" t="s">
        <v>316</v>
      </c>
      <c r="J15" s="74" t="s">
        <v>317</v>
      </c>
      <c r="L15" s="73" t="s">
        <v>322</v>
      </c>
      <c r="M15" s="617">
        <v>3688326</v>
      </c>
      <c r="N15" s="111">
        <f>DRE!D3</f>
        <v>3926631</v>
      </c>
      <c r="O15" s="111">
        <f>DRE!E3</f>
        <v>4993235</v>
      </c>
      <c r="P15" s="73">
        <f>DRE!F3</f>
        <v>3365487</v>
      </c>
      <c r="Q15" s="73">
        <f>DRE!G3</f>
        <v>2192173</v>
      </c>
      <c r="R15" s="73">
        <f>DRE!H3</f>
        <v>1915308</v>
      </c>
      <c r="S15" s="73">
        <f>DRE!I3</f>
        <v>1890654</v>
      </c>
      <c r="T15" s="73">
        <f>T10</f>
        <v>1913608</v>
      </c>
      <c r="V15" s="85" t="s">
        <v>338</v>
      </c>
      <c r="W15" s="692">
        <f>BP!C7+BP!C8</f>
        <v>566929</v>
      </c>
      <c r="X15" s="104">
        <f>BP!D7+BP!D8</f>
        <v>591375</v>
      </c>
      <c r="Y15" s="104">
        <f>BP!E7+BP!E8</f>
        <v>426576</v>
      </c>
      <c r="Z15" s="104">
        <f>BP!F7+BP!F8</f>
        <v>359007</v>
      </c>
      <c r="AA15" s="104">
        <f>BP!G7+BP!G8</f>
        <v>544162</v>
      </c>
      <c r="AB15" s="104">
        <f>BP!H7+BP!H8</f>
        <v>460714</v>
      </c>
      <c r="AC15" s="104">
        <f>BP!I7+BP!I8</f>
        <v>393348</v>
      </c>
      <c r="AD15" s="286">
        <f>BP!J7+BP!J8</f>
        <v>387826</v>
      </c>
    </row>
    <row r="16" spans="2:33">
      <c r="B16" s="272" t="s">
        <v>339</v>
      </c>
      <c r="C16" s="290">
        <f>(C17-C18-C19)/C20</f>
        <v>1.245092482080391</v>
      </c>
      <c r="D16" s="290">
        <f>(D17-D18-D19)/D20</f>
        <v>1.1987447428351337</v>
      </c>
      <c r="E16" s="290">
        <f>(E17-E18-E19)/E20</f>
        <v>1.1500812367154989</v>
      </c>
      <c r="F16" s="290">
        <f t="shared" ref="F16:H16" si="15">(F17-F18-F19)/F20</f>
        <v>0.73784855993158727</v>
      </c>
      <c r="G16" s="290">
        <f>(G17-G18-G19)/G20</f>
        <v>1.141914405674388</v>
      </c>
      <c r="H16" s="290">
        <f t="shared" si="15"/>
        <v>0.82899766994672341</v>
      </c>
      <c r="I16" s="290">
        <f>(I17-I18-I19)/I20</f>
        <v>0.79505812646260499</v>
      </c>
      <c r="J16" s="290">
        <f>(J17-J18-J19)/J20</f>
        <v>0.82949021894384034</v>
      </c>
      <c r="O16" s="112"/>
      <c r="Q16" s="82"/>
      <c r="R16" s="82"/>
      <c r="S16" s="82"/>
      <c r="T16" s="82"/>
    </row>
    <row r="17" spans="2:30">
      <c r="B17" s="73" t="s">
        <v>333</v>
      </c>
      <c r="C17" s="698">
        <v>2967747</v>
      </c>
      <c r="D17" s="93">
        <f>D4</f>
        <v>3575173</v>
      </c>
      <c r="E17" s="93">
        <f>BP!E6</f>
        <v>3430062</v>
      </c>
      <c r="F17" s="93">
        <f>BP!F6</f>
        <v>3120040</v>
      </c>
      <c r="G17" s="93">
        <f>BP!G6</f>
        <v>2211237</v>
      </c>
      <c r="H17" s="93">
        <f>BP!H6</f>
        <v>1471763</v>
      </c>
      <c r="I17" s="93">
        <f>BP!I6</f>
        <v>1418740</v>
      </c>
      <c r="J17" s="93">
        <f>J11</f>
        <v>1411332</v>
      </c>
      <c r="L17" s="73"/>
      <c r="M17" s="73" t="s">
        <v>310</v>
      </c>
      <c r="N17" s="73" t="s">
        <v>311</v>
      </c>
      <c r="O17" s="113" t="s">
        <v>312</v>
      </c>
      <c r="P17" s="74" t="s">
        <v>313</v>
      </c>
      <c r="Q17" s="77" t="s">
        <v>314</v>
      </c>
      <c r="R17" s="77" t="s">
        <v>315</v>
      </c>
      <c r="S17" s="77" t="s">
        <v>316</v>
      </c>
      <c r="T17" s="280" t="s">
        <v>317</v>
      </c>
    </row>
    <row r="18" spans="2:30">
      <c r="B18" s="73" t="s">
        <v>13</v>
      </c>
      <c r="C18" s="602">
        <v>1096246</v>
      </c>
      <c r="D18" s="16">
        <v>1256483</v>
      </c>
      <c r="E18" s="16">
        <v>1390723</v>
      </c>
      <c r="F18" s="16">
        <v>1690347</v>
      </c>
      <c r="G18" s="16">
        <v>645750</v>
      </c>
      <c r="H18" s="126">
        <v>494422</v>
      </c>
      <c r="I18" s="132">
        <v>534726</v>
      </c>
      <c r="J18" s="133">
        <v>506539</v>
      </c>
      <c r="L18" s="272" t="s">
        <v>340</v>
      </c>
      <c r="M18" s="294">
        <f t="shared" ref="M18:T18" si="16">M19/M20</f>
        <v>5.1659628909417957E-2</v>
      </c>
      <c r="N18" s="294">
        <f t="shared" si="16"/>
        <v>0.15715219048537765</v>
      </c>
      <c r="O18" s="294">
        <f t="shared" si="16"/>
        <v>0.21784302292508106</v>
      </c>
      <c r="P18" s="290">
        <f t="shared" si="16"/>
        <v>0.17170406741019634</v>
      </c>
      <c r="Q18" s="290">
        <f t="shared" si="16"/>
        <v>0.18956034914987155</v>
      </c>
      <c r="R18" s="290">
        <f t="shared" si="16"/>
        <v>3.8975946636155952E-2</v>
      </c>
      <c r="S18" s="290">
        <f t="shared" si="16"/>
        <v>-9.0408465840896785E-4</v>
      </c>
      <c r="T18" s="290">
        <f t="shared" si="16"/>
        <v>-9.3904714885213528E-2</v>
      </c>
      <c r="V18" s="98"/>
      <c r="W18" s="98" t="s">
        <v>310</v>
      </c>
      <c r="X18" s="98" t="s">
        <v>311</v>
      </c>
      <c r="Y18" s="74" t="s">
        <v>312</v>
      </c>
      <c r="Z18" s="74" t="s">
        <v>313</v>
      </c>
      <c r="AA18" s="99" t="s">
        <v>314</v>
      </c>
      <c r="AB18" s="99" t="s">
        <v>315</v>
      </c>
      <c r="AC18" s="99" t="s">
        <v>316</v>
      </c>
      <c r="AD18" s="281" t="s">
        <v>317</v>
      </c>
    </row>
    <row r="19" spans="2:30">
      <c r="B19" s="73" t="s">
        <v>341</v>
      </c>
      <c r="C19" s="73">
        <v>0</v>
      </c>
      <c r="D19" s="93">
        <v>0</v>
      </c>
      <c r="E19" s="93">
        <v>0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L19" s="73" t="s">
        <v>329</v>
      </c>
      <c r="M19" s="704">
        <v>85038</v>
      </c>
      <c r="N19" s="111">
        <f>DRE!D21</f>
        <v>250882</v>
      </c>
      <c r="O19" s="111">
        <f>DRE!E21</f>
        <v>306357</v>
      </c>
      <c r="P19" s="73">
        <f>DRE!F21</f>
        <v>202896</v>
      </c>
      <c r="Q19" s="73">
        <f>DRE!G21</f>
        <v>195842</v>
      </c>
      <c r="R19" s="73">
        <f>DRE!H21</f>
        <v>20848</v>
      </c>
      <c r="S19" s="73">
        <f>DRE!I21</f>
        <v>-461</v>
      </c>
      <c r="T19" s="73">
        <f>T9</f>
        <v>-47551</v>
      </c>
      <c r="V19" s="274" t="s">
        <v>336</v>
      </c>
      <c r="W19" s="298">
        <f t="shared" ref="W19:AA19" si="17">W20-(W21*W22)</f>
        <v>31210.169342837005</v>
      </c>
      <c r="X19" s="298">
        <f t="shared" si="17"/>
        <v>249540.19107538433</v>
      </c>
      <c r="Y19" s="298">
        <f t="shared" si="17"/>
        <v>306180.63429364399</v>
      </c>
      <c r="Z19" s="298">
        <f t="shared" si="17"/>
        <v>201774.99966864678</v>
      </c>
      <c r="AA19" s="298">
        <f t="shared" si="17"/>
        <v>179049.3155230204</v>
      </c>
      <c r="AB19" s="298">
        <f>AB20-(AB21*AB22)</f>
        <v>12357.964922206505</v>
      </c>
      <c r="AC19" s="298">
        <f>AC20-(AC21*AC22)</f>
        <v>-50759.272256425291</v>
      </c>
      <c r="AD19" s="298">
        <f>AD20-(AD21*AD22)</f>
        <v>-42273.505740332374</v>
      </c>
    </row>
    <row r="20" spans="2:30">
      <c r="B20" s="73" t="s">
        <v>62</v>
      </c>
      <c r="C20" s="699">
        <v>1503102</v>
      </c>
      <c r="D20" s="93">
        <f>D6</f>
        <v>1934265</v>
      </c>
      <c r="E20" s="93">
        <f>BP!E37</f>
        <v>1773213</v>
      </c>
      <c r="F20" s="93">
        <f>BP!F37</f>
        <v>1937651</v>
      </c>
      <c r="G20" s="93">
        <f>BP!G37</f>
        <v>1370932</v>
      </c>
      <c r="H20" s="93">
        <f>BP!H37</f>
        <v>1178943</v>
      </c>
      <c r="I20" s="93">
        <f>BP!I37</f>
        <v>1111886</v>
      </c>
      <c r="J20" s="93">
        <f>J12</f>
        <v>1090782</v>
      </c>
      <c r="L20" s="73" t="s">
        <v>342</v>
      </c>
      <c r="M20" s="702">
        <v>1646121</v>
      </c>
      <c r="N20" s="111">
        <f>BP!D68</f>
        <v>1596427</v>
      </c>
      <c r="O20" s="111">
        <f>BP!E68</f>
        <v>1406320</v>
      </c>
      <c r="P20" s="73">
        <f>BP!F68</f>
        <v>1181661</v>
      </c>
      <c r="Q20" s="73">
        <f>BP!G68</f>
        <v>1033138</v>
      </c>
      <c r="R20" s="73">
        <f>BP!H68</f>
        <v>534894</v>
      </c>
      <c r="S20" s="73">
        <f>BP!I68</f>
        <v>509908</v>
      </c>
      <c r="T20" s="73">
        <f>BP!J68</f>
        <v>506375</v>
      </c>
      <c r="V20" s="100" t="s">
        <v>329</v>
      </c>
      <c r="W20" s="693">
        <f>DRE!C21</f>
        <v>85038</v>
      </c>
      <c r="X20" s="105">
        <f>DRE!D21</f>
        <v>250882</v>
      </c>
      <c r="Y20" s="105">
        <f>DRE!E21</f>
        <v>306357</v>
      </c>
      <c r="Z20" s="105">
        <f>DRE!F21</f>
        <v>202896</v>
      </c>
      <c r="AA20" s="105">
        <f>DRE!G21</f>
        <v>195842</v>
      </c>
      <c r="AB20" s="105">
        <f>DRE!H21</f>
        <v>20848</v>
      </c>
      <c r="AC20" s="105">
        <f>DRE!I21</f>
        <v>-461</v>
      </c>
      <c r="AD20" s="282">
        <f>DRE!J21</f>
        <v>-47551</v>
      </c>
    </row>
    <row r="21" spans="2:30">
      <c r="G21" s="82"/>
      <c r="H21" s="82"/>
      <c r="I21" s="82"/>
      <c r="J21" s="82"/>
      <c r="O21" s="112"/>
      <c r="Q21" s="86"/>
      <c r="R21" s="86"/>
      <c r="S21" s="86"/>
      <c r="T21" s="86"/>
      <c r="V21" s="100" t="s">
        <v>343</v>
      </c>
      <c r="W21" s="694">
        <f>DRE!C17</f>
        <v>-321544</v>
      </c>
      <c r="X21" s="105">
        <f>-DRE!D17</f>
        <v>-104320</v>
      </c>
      <c r="Y21" s="105">
        <f>-DRE!E17</f>
        <v>-86350</v>
      </c>
      <c r="Z21" s="105">
        <f>-DRE!F17</f>
        <v>-43706</v>
      </c>
      <c r="AA21" s="105">
        <f>-DRE!G17</f>
        <v>-59756</v>
      </c>
      <c r="AB21" s="105">
        <f>-DRE!H17</f>
        <v>-32306</v>
      </c>
      <c r="AC21" s="105">
        <f>-DRE!I17</f>
        <v>-48130</v>
      </c>
      <c r="AD21" s="282">
        <f>-DRE!J17</f>
        <v>-65135</v>
      </c>
    </row>
    <row r="22" spans="2:30">
      <c r="G22" s="82"/>
      <c r="H22" s="82"/>
      <c r="I22" s="82"/>
      <c r="J22" s="82"/>
      <c r="L22" s="73"/>
      <c r="M22" s="73" t="s">
        <v>310</v>
      </c>
      <c r="N22" s="73" t="s">
        <v>311</v>
      </c>
      <c r="O22" s="113" t="s">
        <v>312</v>
      </c>
      <c r="P22" s="74" t="s">
        <v>313</v>
      </c>
      <c r="Q22" s="77" t="s">
        <v>314</v>
      </c>
      <c r="R22" s="77" t="s">
        <v>315</v>
      </c>
      <c r="S22" s="77" t="s">
        <v>316</v>
      </c>
      <c r="T22" s="280" t="s">
        <v>317</v>
      </c>
      <c r="V22" s="100" t="s">
        <v>344</v>
      </c>
      <c r="W22" s="697">
        <f>W25</f>
        <v>-0.16740424531996553</v>
      </c>
      <c r="X22" s="102">
        <f>X25</f>
        <v>-1.2862432176147251E-2</v>
      </c>
      <c r="Y22" s="102">
        <f>Y25</f>
        <v>-2.0424517238683449E-3</v>
      </c>
      <c r="Z22" s="102">
        <f t="shared" ref="Z22:AC22" si="18">Z25</f>
        <v>-2.5648659940356422E-2</v>
      </c>
      <c r="AA22" s="102">
        <f t="shared" si="18"/>
        <v>-0.28102089291417787</v>
      </c>
      <c r="AB22" s="102">
        <f t="shared" si="18"/>
        <v>-0.2628005657708628</v>
      </c>
      <c r="AC22" s="102">
        <f t="shared" si="18"/>
        <v>-1.0450503273722271</v>
      </c>
      <c r="AD22" s="283">
        <f>AD25</f>
        <v>8.1023938891035985E-2</v>
      </c>
    </row>
    <row r="23" spans="2:30">
      <c r="B23" s="80"/>
      <c r="C23" s="80" t="s">
        <v>310</v>
      </c>
      <c r="D23" s="81" t="s">
        <v>311</v>
      </c>
      <c r="E23" s="81" t="s">
        <v>312</v>
      </c>
      <c r="F23" s="81" t="s">
        <v>313</v>
      </c>
      <c r="G23" s="81" t="s">
        <v>314</v>
      </c>
      <c r="H23" s="81" t="s">
        <v>315</v>
      </c>
      <c r="I23" s="81" t="s">
        <v>316</v>
      </c>
      <c r="J23" s="81" t="s">
        <v>317</v>
      </c>
      <c r="L23" s="272" t="s">
        <v>345</v>
      </c>
      <c r="M23" s="294">
        <f t="shared" ref="M23:T23" si="19">M24/M25</f>
        <v>1.9036992944013491E-2</v>
      </c>
      <c r="N23" s="294">
        <f t="shared" si="19"/>
        <v>5.4755814976233309E-2</v>
      </c>
      <c r="O23" s="294">
        <f t="shared" si="19"/>
        <v>7.2945182239736173E-2</v>
      </c>
      <c r="P23" s="290">
        <f t="shared" si="19"/>
        <v>5.4045990875130789E-2</v>
      </c>
      <c r="Q23" s="290">
        <f t="shared" si="19"/>
        <v>6.9333559911280568E-2</v>
      </c>
      <c r="R23" s="290">
        <f t="shared" si="19"/>
        <v>1.0716545620624622E-2</v>
      </c>
      <c r="S23" s="290">
        <f t="shared" si="19"/>
        <v>-2.5760968388888921E-4</v>
      </c>
      <c r="T23" s="290">
        <f t="shared" si="19"/>
        <v>-2.742495208664603E-2</v>
      </c>
    </row>
    <row r="24" spans="2:30">
      <c r="B24" s="272" t="s">
        <v>346</v>
      </c>
      <c r="C24" s="290">
        <f>C25/C26</f>
        <v>0.37717267357770795</v>
      </c>
      <c r="D24" s="290">
        <f>D25/D26</f>
        <v>0.30573628742700715</v>
      </c>
      <c r="E24" s="290">
        <f>E25/E26</f>
        <v>0.24056670010878559</v>
      </c>
      <c r="F24" s="290">
        <f t="shared" ref="F24:I24" si="20">F25/F26</f>
        <v>0.18527949563672716</v>
      </c>
      <c r="G24" s="290">
        <f>G25/G26</f>
        <v>0.39692851286570013</v>
      </c>
      <c r="H24" s="290">
        <f t="shared" si="20"/>
        <v>0.39078564442895036</v>
      </c>
      <c r="I24" s="290">
        <f t="shared" si="20"/>
        <v>0.35376648325457827</v>
      </c>
      <c r="J24" s="290">
        <f>J25/J26</f>
        <v>0.35554858807717765</v>
      </c>
      <c r="L24" s="73" t="s">
        <v>329</v>
      </c>
      <c r="M24" s="704">
        <v>85038</v>
      </c>
      <c r="N24" s="111">
        <f>DRE!D21</f>
        <v>250882</v>
      </c>
      <c r="O24" s="111">
        <f>DRE!E21</f>
        <v>306357</v>
      </c>
      <c r="P24" s="73">
        <f>DRE!F21</f>
        <v>202896</v>
      </c>
      <c r="Q24" s="73">
        <f>DRE!G21</f>
        <v>195842</v>
      </c>
      <c r="R24" s="73">
        <f>DRE!H21</f>
        <v>20848</v>
      </c>
      <c r="S24" s="73">
        <f>DRE!I21</f>
        <v>-461</v>
      </c>
      <c r="T24" s="73">
        <f>T19</f>
        <v>-47551</v>
      </c>
      <c r="V24" s="97"/>
      <c r="W24" s="97" t="s">
        <v>310</v>
      </c>
      <c r="X24" s="97" t="s">
        <v>311</v>
      </c>
      <c r="Y24" s="74" t="s">
        <v>312</v>
      </c>
      <c r="Z24" s="74" t="s">
        <v>313</v>
      </c>
      <c r="AA24" s="99" t="s">
        <v>314</v>
      </c>
      <c r="AB24" s="99" t="s">
        <v>315</v>
      </c>
      <c r="AC24" s="99" t="s">
        <v>316</v>
      </c>
      <c r="AD24" s="281" t="s">
        <v>317</v>
      </c>
    </row>
    <row r="25" spans="2:30">
      <c r="B25" s="278" t="s">
        <v>347</v>
      </c>
      <c r="C25" s="602">
        <v>566929</v>
      </c>
      <c r="D25" s="16">
        <v>591375</v>
      </c>
      <c r="E25" s="16">
        <v>426576</v>
      </c>
      <c r="F25" s="16">
        <v>359007</v>
      </c>
      <c r="G25" s="16">
        <v>544162</v>
      </c>
      <c r="H25" s="126">
        <v>460714</v>
      </c>
      <c r="I25" s="132">
        <v>393348</v>
      </c>
      <c r="J25" s="133">
        <v>387826</v>
      </c>
      <c r="L25" s="73" t="s">
        <v>3</v>
      </c>
      <c r="M25" s="705">
        <v>4466987</v>
      </c>
      <c r="N25" s="111">
        <f>BP!D5</f>
        <v>4581833</v>
      </c>
      <c r="O25" s="111">
        <f>BP!E5</f>
        <v>4199825</v>
      </c>
      <c r="P25" s="73">
        <f>BP!F5</f>
        <v>3754136</v>
      </c>
      <c r="Q25" s="73">
        <f>BP!G5</f>
        <v>2824635</v>
      </c>
      <c r="R25" s="73">
        <f>BP!H5</f>
        <v>1945403</v>
      </c>
      <c r="S25" s="73">
        <f>BP!I5</f>
        <v>1789529</v>
      </c>
      <c r="T25" s="73">
        <f>BP!J5</f>
        <v>1733859</v>
      </c>
      <c r="V25" s="275" t="s">
        <v>348</v>
      </c>
      <c r="W25" s="299">
        <f t="shared" ref="W25:AD25" si="21">W26/W27</f>
        <v>-0.16740424531996553</v>
      </c>
      <c r="X25" s="299">
        <f t="shared" si="21"/>
        <v>-1.2862432176147251E-2</v>
      </c>
      <c r="Y25" s="299">
        <f t="shared" si="21"/>
        <v>-2.0424517238683449E-3</v>
      </c>
      <c r="Z25" s="299">
        <f t="shared" si="21"/>
        <v>-2.5648659940356422E-2</v>
      </c>
      <c r="AA25" s="299">
        <f t="shared" si="21"/>
        <v>-0.28102089291417787</v>
      </c>
      <c r="AB25" s="299">
        <f t="shared" si="21"/>
        <v>-0.2628005657708628</v>
      </c>
      <c r="AC25" s="299">
        <f t="shared" si="21"/>
        <v>-1.0450503273722271</v>
      </c>
      <c r="AD25" s="299">
        <f t="shared" si="21"/>
        <v>8.1023938891035985E-2</v>
      </c>
    </row>
    <row r="26" spans="2:30" ht="27.75">
      <c r="B26" s="278" t="s">
        <v>62</v>
      </c>
      <c r="C26" s="700">
        <v>1503102</v>
      </c>
      <c r="D26" s="279">
        <f>D12</f>
        <v>1934265</v>
      </c>
      <c r="E26" s="279">
        <f>BP!E37</f>
        <v>1773213</v>
      </c>
      <c r="F26" s="279">
        <f>BP!F37</f>
        <v>1937651</v>
      </c>
      <c r="G26" s="279">
        <f>BP!G37</f>
        <v>1370932</v>
      </c>
      <c r="H26" s="279">
        <f>BP!H37</f>
        <v>1178943</v>
      </c>
      <c r="I26" s="279">
        <f>BP!I37</f>
        <v>1111886</v>
      </c>
      <c r="J26" s="279">
        <f>BP!J37</f>
        <v>1090782</v>
      </c>
      <c r="O26" s="112"/>
      <c r="Q26" s="86"/>
      <c r="R26" s="86"/>
      <c r="S26" s="86"/>
      <c r="T26" s="86"/>
      <c r="V26" s="103" t="s">
        <v>349</v>
      </c>
      <c r="W26" s="695">
        <f>DRE!C19</f>
        <v>-17098</v>
      </c>
      <c r="X26" s="101">
        <f>DRE!D19</f>
        <v>-3269</v>
      </c>
      <c r="Y26" s="101">
        <f>DRE!E19</f>
        <v>-627</v>
      </c>
      <c r="Z26" s="101">
        <f>DRE!F19</f>
        <v>-5341</v>
      </c>
      <c r="AA26" s="101">
        <f>DRE!G19</f>
        <v>-76547</v>
      </c>
      <c r="AB26" s="101">
        <f>DRE!H19</f>
        <v>-7432</v>
      </c>
      <c r="AC26" s="101">
        <f>DRE!I19</f>
        <v>-10694</v>
      </c>
      <c r="AD26" s="101">
        <f>DRE!J19</f>
        <v>-3564</v>
      </c>
    </row>
    <row r="27" spans="2:30">
      <c r="L27" s="73"/>
      <c r="M27" s="73" t="s">
        <v>310</v>
      </c>
      <c r="N27" s="73" t="s">
        <v>311</v>
      </c>
      <c r="O27" s="113" t="s">
        <v>312</v>
      </c>
      <c r="P27" s="74" t="s">
        <v>313</v>
      </c>
      <c r="Q27" s="77" t="s">
        <v>314</v>
      </c>
      <c r="R27" s="77" t="s">
        <v>315</v>
      </c>
      <c r="S27" s="77" t="s">
        <v>316</v>
      </c>
      <c r="T27" s="280" t="s">
        <v>317</v>
      </c>
      <c r="V27" s="97" t="s">
        <v>350</v>
      </c>
      <c r="W27" s="696">
        <f>DRE!C18</f>
        <v>102136</v>
      </c>
      <c r="X27" s="101">
        <f>DRE!D18</f>
        <v>254151</v>
      </c>
      <c r="Y27" s="101">
        <f>DRE!E18</f>
        <v>306984</v>
      </c>
      <c r="Z27" s="101">
        <f>DRE!F18</f>
        <v>208237</v>
      </c>
      <c r="AA27" s="101">
        <f>DRE!G18</f>
        <v>272389</v>
      </c>
      <c r="AB27" s="101">
        <f>DRE!H18</f>
        <v>28280</v>
      </c>
      <c r="AC27" s="101">
        <f>DRE!I18</f>
        <v>10233</v>
      </c>
      <c r="AD27" s="101">
        <f>DRE!J18</f>
        <v>-43987</v>
      </c>
    </row>
    <row r="28" spans="2:30">
      <c r="L28" s="272" t="s">
        <v>351</v>
      </c>
      <c r="M28" s="294">
        <f t="shared" ref="M28:T28" si="22">(M29/M30)/(M31/M32)</f>
        <v>2.123353163135103</v>
      </c>
      <c r="N28" s="294">
        <f t="shared" si="22"/>
        <v>0.87268898624865898</v>
      </c>
      <c r="O28" s="294">
        <f t="shared" si="22"/>
        <v>1.0899848197316515</v>
      </c>
      <c r="P28" s="290">
        <f t="shared" si="22"/>
        <v>0.76638348046934091</v>
      </c>
      <c r="Q28" s="290">
        <f t="shared" si="22"/>
        <v>0.80772179997367277</v>
      </c>
      <c r="R28" s="290">
        <f t="shared" si="22"/>
        <v>2.2459771650954128</v>
      </c>
      <c r="S28" s="290">
        <f t="shared" si="22"/>
        <v>1.0869030957282092E-2</v>
      </c>
      <c r="T28" s="290">
        <f t="shared" si="22"/>
        <v>1.3038877865430756</v>
      </c>
    </row>
    <row r="29" spans="2:30">
      <c r="B29" s="73"/>
      <c r="C29" s="73" t="s">
        <v>310</v>
      </c>
      <c r="D29" s="74" t="s">
        <v>311</v>
      </c>
      <c r="E29" s="74" t="s">
        <v>312</v>
      </c>
      <c r="F29" s="74" t="s">
        <v>313</v>
      </c>
      <c r="G29" s="74" t="s">
        <v>314</v>
      </c>
      <c r="H29" s="74" t="s">
        <v>315</v>
      </c>
      <c r="I29" s="74" t="s">
        <v>316</v>
      </c>
      <c r="J29" s="74" t="s">
        <v>317</v>
      </c>
      <c r="L29" s="87" t="s">
        <v>329</v>
      </c>
      <c r="M29" s="704">
        <v>85038</v>
      </c>
      <c r="N29" s="113">
        <f>DRE!D21</f>
        <v>250882</v>
      </c>
      <c r="O29" s="113">
        <f>DRE!E21</f>
        <v>306357</v>
      </c>
      <c r="P29" s="74">
        <f>DRE!F21</f>
        <v>202896</v>
      </c>
      <c r="Q29" s="74">
        <f>DRE!G21</f>
        <v>195842</v>
      </c>
      <c r="R29" s="74">
        <f>DRE!H21</f>
        <v>20848</v>
      </c>
      <c r="S29" s="74">
        <f>DRE!I21</f>
        <v>-461</v>
      </c>
      <c r="T29" s="74">
        <f>T24</f>
        <v>-47551</v>
      </c>
      <c r="V29" s="106"/>
      <c r="W29" s="300" t="s">
        <v>310</v>
      </c>
      <c r="X29" s="300" t="s">
        <v>311</v>
      </c>
      <c r="Y29" s="99" t="s">
        <v>312</v>
      </c>
      <c r="Z29" s="99" t="s">
        <v>313</v>
      </c>
      <c r="AA29" s="99" t="s">
        <v>314</v>
      </c>
      <c r="AB29" s="99" t="s">
        <v>315</v>
      </c>
      <c r="AC29" s="99" t="s">
        <v>316</v>
      </c>
      <c r="AD29" s="281" t="s">
        <v>317</v>
      </c>
    </row>
    <row r="30" spans="2:30">
      <c r="B30" s="272" t="s">
        <v>352</v>
      </c>
      <c r="C30" s="290">
        <f>(C31/C32)</f>
        <v>2.7136443797266421</v>
      </c>
      <c r="D30" s="290">
        <f>(D31/D32)</f>
        <v>2.8700548161613404</v>
      </c>
      <c r="E30" s="290">
        <f>(E31/E32)</f>
        <v>2.9863935661869276</v>
      </c>
      <c r="F30" s="290">
        <f t="shared" ref="F30:I30" si="23">(F31/F32)</f>
        <v>3.1769991562723998</v>
      </c>
      <c r="G30" s="290">
        <f>(G31/G32)</f>
        <v>2.7340345626624902</v>
      </c>
      <c r="H30" s="290">
        <f t="shared" si="23"/>
        <v>3.63698788918926</v>
      </c>
      <c r="I30" s="290">
        <f t="shared" si="23"/>
        <v>3.5095134808632147</v>
      </c>
      <c r="J30" s="290">
        <f>J31/J32</f>
        <v>3.4240612194519873</v>
      </c>
      <c r="L30" s="87" t="s">
        <v>342</v>
      </c>
      <c r="M30" s="702">
        <v>1646121</v>
      </c>
      <c r="N30" s="113">
        <f>BP!D68</f>
        <v>1596427</v>
      </c>
      <c r="O30" s="113">
        <f>BP!E68</f>
        <v>1406320</v>
      </c>
      <c r="P30" s="74">
        <f>BP!F68</f>
        <v>1181661</v>
      </c>
      <c r="Q30" s="74">
        <f>BP!G68</f>
        <v>1033138</v>
      </c>
      <c r="R30" s="74">
        <f>BP!H68</f>
        <v>534894</v>
      </c>
      <c r="S30" s="74">
        <f>BP!I68</f>
        <v>509908</v>
      </c>
      <c r="T30" s="74">
        <f>T20</f>
        <v>506375</v>
      </c>
      <c r="V30" s="276" t="s">
        <v>47</v>
      </c>
      <c r="W30" s="298">
        <f>W31-W32</f>
        <v>1282824</v>
      </c>
      <c r="X30" s="298">
        <f>X31-X32</f>
        <v>1385733</v>
      </c>
      <c r="Y30" s="298">
        <f>Y31-Y32</f>
        <v>1531985</v>
      </c>
      <c r="Z30" s="298">
        <f t="shared" ref="Z30:AA30" si="24">Z31-Z32</f>
        <v>900602</v>
      </c>
      <c r="AA30" s="298">
        <f t="shared" si="24"/>
        <v>762934</v>
      </c>
      <c r="AB30" s="298">
        <f t="shared" ref="AB30:AC30" si="25">AB31-AB32</f>
        <v>712124</v>
      </c>
      <c r="AC30" s="298">
        <f t="shared" si="25"/>
        <v>610235</v>
      </c>
      <c r="AD30" s="298">
        <f>AD31-AD32</f>
        <v>586977</v>
      </c>
    </row>
    <row r="31" spans="2:30">
      <c r="B31" s="73" t="s">
        <v>353</v>
      </c>
      <c r="C31" s="701">
        <v>4466987</v>
      </c>
      <c r="D31" s="571">
        <v>4581833</v>
      </c>
      <c r="E31" s="92">
        <f>BP!E36</f>
        <v>4199825</v>
      </c>
      <c r="F31" s="92">
        <f>BP!F36</f>
        <v>3754136</v>
      </c>
      <c r="G31" s="92">
        <f>BP!G36</f>
        <v>2824635</v>
      </c>
      <c r="H31" s="92">
        <f>BP!H36</f>
        <v>1945403</v>
      </c>
      <c r="I31" s="92">
        <f>BP!I36</f>
        <v>1789529</v>
      </c>
      <c r="J31" s="92">
        <f>BP!J36</f>
        <v>1733859</v>
      </c>
      <c r="L31" s="87" t="s">
        <v>336</v>
      </c>
      <c r="M31" s="87">
        <f>W19</f>
        <v>31210.169342837005</v>
      </c>
      <c r="N31" s="74">
        <f>X19</f>
        <v>249540.19107538433</v>
      </c>
      <c r="O31" s="74">
        <f>Y19</f>
        <v>306180.63429364399</v>
      </c>
      <c r="P31" s="74">
        <f t="shared" ref="P31:S31" si="26">Z19</f>
        <v>201774.99966864678</v>
      </c>
      <c r="Q31" s="74">
        <f t="shared" si="26"/>
        <v>179049.3155230204</v>
      </c>
      <c r="R31" s="74">
        <f t="shared" si="26"/>
        <v>12357.964922206505</v>
      </c>
      <c r="S31" s="74">
        <f t="shared" si="26"/>
        <v>-50759.272256425291</v>
      </c>
      <c r="T31" s="74">
        <f>T14</f>
        <v>-42273.505740332374</v>
      </c>
      <c r="V31" s="103" t="s">
        <v>3</v>
      </c>
      <c r="W31" s="706">
        <v>4466987</v>
      </c>
      <c r="X31" s="101">
        <f>BP!D5</f>
        <v>4581833</v>
      </c>
      <c r="Y31" s="101">
        <f>BP!E5</f>
        <v>4199825</v>
      </c>
      <c r="Z31" s="101">
        <f>BP!F5</f>
        <v>3754136</v>
      </c>
      <c r="AA31" s="101">
        <f>BP!G5</f>
        <v>2824635</v>
      </c>
      <c r="AB31" s="101">
        <f>BP!H5</f>
        <v>1945403</v>
      </c>
      <c r="AC31" s="101">
        <f>BP!I5</f>
        <v>1789529</v>
      </c>
      <c r="AD31" s="101">
        <f>BP!I5</f>
        <v>1789529</v>
      </c>
    </row>
    <row r="32" spans="2:30" ht="27.75">
      <c r="B32" s="73" t="s">
        <v>342</v>
      </c>
      <c r="C32" s="702">
        <v>1646121</v>
      </c>
      <c r="D32" s="574">
        <v>1596427</v>
      </c>
      <c r="E32" s="92">
        <f>BP!E68</f>
        <v>1406320</v>
      </c>
      <c r="F32" s="92">
        <f>BP!F68</f>
        <v>1181661</v>
      </c>
      <c r="G32" s="92">
        <f>BP!G68</f>
        <v>1033138</v>
      </c>
      <c r="H32" s="92">
        <f>BP!H68</f>
        <v>534894</v>
      </c>
      <c r="I32" s="92">
        <f>BP!I68</f>
        <v>509908</v>
      </c>
      <c r="J32" s="92">
        <f>BP!J68</f>
        <v>506375</v>
      </c>
      <c r="L32" s="87" t="s">
        <v>354</v>
      </c>
      <c r="M32" s="87">
        <f>W30</f>
        <v>1282824</v>
      </c>
      <c r="N32" s="74">
        <f>X30</f>
        <v>1385733</v>
      </c>
      <c r="O32" s="74">
        <f>Y30</f>
        <v>1531985</v>
      </c>
      <c r="P32" s="74">
        <f t="shared" ref="P32:R32" si="27">Z30</f>
        <v>900602</v>
      </c>
      <c r="Q32" s="74">
        <f t="shared" si="27"/>
        <v>762934</v>
      </c>
      <c r="R32" s="74">
        <f t="shared" si="27"/>
        <v>712124</v>
      </c>
      <c r="S32" s="74">
        <f>AC30</f>
        <v>610235</v>
      </c>
      <c r="T32" s="74">
        <f>AD30</f>
        <v>586977</v>
      </c>
      <c r="V32" s="103" t="s">
        <v>355</v>
      </c>
      <c r="W32" s="101">
        <f>BP!C36-BP!C46-BP!C56</f>
        <v>3184163</v>
      </c>
      <c r="X32" s="101">
        <f>BP!D36-BP!D46-BP!D56</f>
        <v>3196100</v>
      </c>
      <c r="Y32" s="101">
        <f>BP!E36-BP!E46-BP!E56</f>
        <v>2667840</v>
      </c>
      <c r="Z32" s="101">
        <f>BP!F36-BP!F46-BP!F56</f>
        <v>2853534</v>
      </c>
      <c r="AA32" s="101">
        <f>BP!G36-BP!G46-BP!G56</f>
        <v>2061701</v>
      </c>
      <c r="AB32" s="101">
        <f>BP!H36-BP!H46-BP!H56</f>
        <v>1233279</v>
      </c>
      <c r="AC32" s="101">
        <f>BP!I36-BP!I46-BP!I56</f>
        <v>1179294</v>
      </c>
      <c r="AD32" s="101">
        <f>BP!J36-BP!J46-BP!J56</f>
        <v>1202552</v>
      </c>
    </row>
    <row r="33" spans="2:30">
      <c r="G33" s="82"/>
      <c r="H33" s="82"/>
      <c r="I33" s="82"/>
      <c r="J33" s="82"/>
    </row>
    <row r="34" spans="2:30">
      <c r="B34" s="73"/>
      <c r="C34" s="73" t="s">
        <v>310</v>
      </c>
      <c r="D34" s="74" t="s">
        <v>311</v>
      </c>
      <c r="E34" s="74" t="s">
        <v>312</v>
      </c>
      <c r="F34" s="74" t="s">
        <v>313</v>
      </c>
      <c r="G34" s="74" t="s">
        <v>314</v>
      </c>
      <c r="H34" s="74" t="s">
        <v>315</v>
      </c>
      <c r="I34" s="74" t="s">
        <v>316</v>
      </c>
      <c r="J34" s="74" t="s">
        <v>317</v>
      </c>
      <c r="L34" s="73"/>
      <c r="M34" s="73" t="s">
        <v>310</v>
      </c>
      <c r="N34" s="73" t="s">
        <v>311</v>
      </c>
      <c r="O34" s="74" t="s">
        <v>312</v>
      </c>
      <c r="P34" s="74" t="s">
        <v>313</v>
      </c>
      <c r="Q34" s="77" t="s">
        <v>314</v>
      </c>
      <c r="R34" s="77" t="s">
        <v>315</v>
      </c>
      <c r="S34" s="77" t="s">
        <v>316</v>
      </c>
      <c r="T34" s="280" t="s">
        <v>317</v>
      </c>
    </row>
    <row r="35" spans="2:30">
      <c r="B35" s="272" t="s">
        <v>356</v>
      </c>
      <c r="C35" s="290">
        <f>C36/C37</f>
        <v>0.33649124118785212</v>
      </c>
      <c r="D35" s="290">
        <f>D36/D37</f>
        <v>0.42215964658685728</v>
      </c>
      <c r="E35" s="290">
        <f>E36/E37</f>
        <v>0.42221116356038646</v>
      </c>
      <c r="F35" s="290">
        <f t="shared" ref="F35:I35" si="28">F36/F37</f>
        <v>0.51613766789482318</v>
      </c>
      <c r="G35" s="290">
        <f>G36/G37</f>
        <v>0.48534837244458134</v>
      </c>
      <c r="H35" s="290">
        <f t="shared" si="28"/>
        <v>0.60601479487797649</v>
      </c>
      <c r="I35" s="290">
        <f t="shared" si="28"/>
        <v>0.62132885245223746</v>
      </c>
      <c r="J35" s="290">
        <f>J36/J37</f>
        <v>0.62910651904220583</v>
      </c>
      <c r="L35" s="272" t="s">
        <v>357</v>
      </c>
      <c r="M35" s="272">
        <f>M36</f>
        <v>102136</v>
      </c>
      <c r="N35" s="290">
        <f t="shared" ref="N35:T35" si="29">N36</f>
        <v>254151</v>
      </c>
      <c r="O35" s="290">
        <f t="shared" si="29"/>
        <v>306984</v>
      </c>
      <c r="P35" s="290">
        <f t="shared" si="29"/>
        <v>208237</v>
      </c>
      <c r="Q35" s="290">
        <f t="shared" si="29"/>
        <v>272389</v>
      </c>
      <c r="R35" s="290">
        <f t="shared" si="29"/>
        <v>28280</v>
      </c>
      <c r="S35" s="290">
        <f t="shared" si="29"/>
        <v>10233</v>
      </c>
      <c r="T35" s="290">
        <f t="shared" si="29"/>
        <v>-43987</v>
      </c>
      <c r="V35" s="73"/>
      <c r="W35" s="73" t="s">
        <v>310</v>
      </c>
      <c r="X35" s="73" t="s">
        <v>311</v>
      </c>
      <c r="Y35" s="74" t="s">
        <v>312</v>
      </c>
      <c r="Z35" s="74" t="s">
        <v>313</v>
      </c>
      <c r="AA35" s="74" t="s">
        <v>314</v>
      </c>
      <c r="AB35" s="74" t="s">
        <v>315</v>
      </c>
      <c r="AC35" s="74" t="s">
        <v>316</v>
      </c>
      <c r="AD35" s="287" t="s">
        <v>317</v>
      </c>
    </row>
    <row r="36" spans="2:30" ht="27.75">
      <c r="B36" s="73" t="s">
        <v>62</v>
      </c>
      <c r="C36" s="700">
        <v>1503102</v>
      </c>
      <c r="D36" s="569">
        <v>1934265</v>
      </c>
      <c r="E36" s="569">
        <v>1773213</v>
      </c>
      <c r="F36" s="560">
        <v>1937651</v>
      </c>
      <c r="G36" s="560">
        <v>1370932</v>
      </c>
      <c r="H36" s="562">
        <v>1178943</v>
      </c>
      <c r="I36" s="570">
        <v>1111886</v>
      </c>
      <c r="J36" s="568">
        <v>1090782</v>
      </c>
      <c r="L36" s="88" t="s">
        <v>358</v>
      </c>
      <c r="M36" s="583">
        <v>102136</v>
      </c>
      <c r="N36" s="88">
        <f>DRE!D18</f>
        <v>254151</v>
      </c>
      <c r="O36" s="88">
        <f>DRE!E18</f>
        <v>306984</v>
      </c>
      <c r="P36" s="88">
        <f>DRE!F18</f>
        <v>208237</v>
      </c>
      <c r="Q36" s="88">
        <f>DRE!G18</f>
        <v>272389</v>
      </c>
      <c r="R36" s="88">
        <f>DRE!H18</f>
        <v>28280</v>
      </c>
      <c r="S36" s="88">
        <f>DRE!I18</f>
        <v>10233</v>
      </c>
      <c r="T36" s="88">
        <f>DRE!J18</f>
        <v>-43987</v>
      </c>
      <c r="V36" s="272" t="s">
        <v>332</v>
      </c>
      <c r="W36" s="290">
        <f>W37/W38</f>
        <v>6300.404795486601</v>
      </c>
      <c r="X36" s="290">
        <f>X37/X38</f>
        <v>6462.3878702397742</v>
      </c>
      <c r="Y36" s="290">
        <f>Y37/Y38</f>
        <v>5923.5895627644568</v>
      </c>
      <c r="Z36" s="290">
        <f t="shared" ref="Z36" si="30">Z37/Z38</f>
        <v>5294.9732016925245</v>
      </c>
      <c r="AA36" s="290">
        <f>AA37/AA38</f>
        <v>3983.9703808180534</v>
      </c>
      <c r="AB36" s="290">
        <f t="shared" ref="AB36:AC36" si="31">AB37/AB38</f>
        <v>4431.4419134396358</v>
      </c>
      <c r="AC36" s="290">
        <f t="shared" si="31"/>
        <v>4076.3758542141231</v>
      </c>
      <c r="AD36" s="290">
        <f>AD37/AD38</f>
        <v>3949.5649202733484</v>
      </c>
    </row>
    <row r="37" spans="2:30">
      <c r="B37" s="73" t="s">
        <v>359</v>
      </c>
      <c r="C37" s="701">
        <v>4466987</v>
      </c>
      <c r="D37" s="571">
        <v>4581833</v>
      </c>
      <c r="E37" s="571">
        <v>4199825</v>
      </c>
      <c r="F37" s="571">
        <v>3754136</v>
      </c>
      <c r="G37" s="571">
        <v>2824635</v>
      </c>
      <c r="H37" s="572">
        <v>1945403</v>
      </c>
      <c r="I37" s="570">
        <v>1789529</v>
      </c>
      <c r="J37" s="573">
        <v>1733859</v>
      </c>
      <c r="L37" s="89"/>
      <c r="M37" s="89"/>
      <c r="N37" s="89"/>
      <c r="O37" s="89"/>
      <c r="P37" s="89"/>
      <c r="Q37" s="86"/>
      <c r="R37" s="86"/>
      <c r="S37" s="86"/>
      <c r="T37" s="86"/>
      <c r="V37" s="73" t="s">
        <v>360</v>
      </c>
      <c r="W37" s="92">
        <f>(BP!C5+BP!C36)*100</f>
        <v>893397400</v>
      </c>
      <c r="X37" s="92">
        <f>(BP!D5+BP!D36)*100</f>
        <v>916366600</v>
      </c>
      <c r="Y37" s="92">
        <f>(BP!E5+BP!E36)*100</f>
        <v>839965000</v>
      </c>
      <c r="Z37" s="92">
        <f>(BP!F5+BP!F36)*100</f>
        <v>750827200</v>
      </c>
      <c r="AA37" s="92">
        <f>(BP!G5+BP!G36)*100</f>
        <v>564927000</v>
      </c>
      <c r="AB37" s="92">
        <f>(BP!H5+BP!H36)*100</f>
        <v>389080600</v>
      </c>
      <c r="AC37" s="92">
        <f>(BP!I5+BP!I36)*100</f>
        <v>357905800</v>
      </c>
      <c r="AD37" s="94">
        <f>(BP!J5+BP!J36)*100</f>
        <v>346771800</v>
      </c>
    </row>
    <row r="38" spans="2:30">
      <c r="G38" s="82"/>
      <c r="H38" s="82"/>
      <c r="I38" s="82"/>
      <c r="J38" s="82"/>
      <c r="L38" s="73"/>
      <c r="M38" s="73" t="s">
        <v>310</v>
      </c>
      <c r="N38" s="73" t="s">
        <v>311</v>
      </c>
      <c r="O38" s="74" t="s">
        <v>312</v>
      </c>
      <c r="P38" s="74" t="s">
        <v>313</v>
      </c>
      <c r="Q38" s="77" t="s">
        <v>314</v>
      </c>
      <c r="R38" s="77" t="s">
        <v>315</v>
      </c>
      <c r="S38" s="77" t="s">
        <v>316</v>
      </c>
      <c r="T38" s="280" t="s">
        <v>317</v>
      </c>
      <c r="V38" s="73" t="s">
        <v>361</v>
      </c>
      <c r="W38" s="92">
        <v>141800</v>
      </c>
      <c r="X38" s="92">
        <v>141800</v>
      </c>
      <c r="Y38" s="92">
        <v>141800</v>
      </c>
      <c r="Z38" s="92">
        <v>141800</v>
      </c>
      <c r="AA38" s="92">
        <v>141800</v>
      </c>
      <c r="AB38" s="92">
        <v>87800</v>
      </c>
      <c r="AC38" s="92">
        <v>87800</v>
      </c>
      <c r="AD38" s="288">
        <v>87800</v>
      </c>
    </row>
    <row r="39" spans="2:30">
      <c r="B39" s="73"/>
      <c r="C39" s="73" t="s">
        <v>310</v>
      </c>
      <c r="D39" s="74" t="s">
        <v>311</v>
      </c>
      <c r="E39" s="74" t="s">
        <v>312</v>
      </c>
      <c r="F39" s="74" t="s">
        <v>313</v>
      </c>
      <c r="G39" s="74" t="s">
        <v>314</v>
      </c>
      <c r="H39" s="74" t="s">
        <v>315</v>
      </c>
      <c r="I39" s="74" t="s">
        <v>316</v>
      </c>
      <c r="J39" s="74" t="s">
        <v>317</v>
      </c>
      <c r="L39" s="272" t="s">
        <v>362</v>
      </c>
      <c r="M39" s="295">
        <f>M40/M41</f>
        <v>2.7691695365322913E-2</v>
      </c>
      <c r="N39" s="295">
        <f>N40/N41</f>
        <v>6.4724951236823633E-2</v>
      </c>
      <c r="O39" s="295">
        <f>O40/O41</f>
        <v>6.1479982416209132E-2</v>
      </c>
      <c r="P39" s="295">
        <f t="shared" ref="P39:S39" si="32">P40/P41</f>
        <v>6.1874254751244022E-2</v>
      </c>
      <c r="Q39" s="295">
        <f>Q40/Q41</f>
        <v>0.12425524810313784</v>
      </c>
      <c r="R39" s="295">
        <f t="shared" si="32"/>
        <v>1.4765249244507932E-2</v>
      </c>
      <c r="S39" s="295">
        <f t="shared" si="32"/>
        <v>5.4124128476178085E-3</v>
      </c>
      <c r="T39" s="295">
        <f>T40/T41</f>
        <v>-2.298642146144874E-2</v>
      </c>
    </row>
    <row r="40" spans="2:30">
      <c r="B40" s="272" t="s">
        <v>363</v>
      </c>
      <c r="C40" s="290">
        <f>(C41-C42)/C43</f>
        <v>0.44555533888456561</v>
      </c>
      <c r="D40" s="290">
        <f>(D41-D42)/D43</f>
        <v>0.31590169797930001</v>
      </c>
      <c r="E40" s="290">
        <f>(E41-E42)/E43</f>
        <v>0.27439771886910519</v>
      </c>
      <c r="F40" s="290">
        <f t="shared" ref="F40:H40" si="33">(F41-F42)/F43</f>
        <v>0.24889879584754004</v>
      </c>
      <c r="G40" s="290">
        <f>(G41-G42)/G43</f>
        <v>0.26696627168877729</v>
      </c>
      <c r="H40" s="290">
        <f t="shared" si="33"/>
        <v>0.49970461437219338</v>
      </c>
      <c r="I40" s="290">
        <f>(I41-I42)/I43</f>
        <v>0.34957090298642107</v>
      </c>
      <c r="J40" s="290">
        <f>(J41-J42)/J43</f>
        <v>0.34137941249074305</v>
      </c>
      <c r="L40" s="88" t="s">
        <v>364</v>
      </c>
      <c r="M40" s="88">
        <f>M35</f>
        <v>102136</v>
      </c>
      <c r="N40" s="88">
        <f>N35</f>
        <v>254151</v>
      </c>
      <c r="O40" s="88">
        <f>O35</f>
        <v>306984</v>
      </c>
      <c r="P40" s="88">
        <f t="shared" ref="P40:S40" si="34">P35</f>
        <v>208237</v>
      </c>
      <c r="Q40" s="88">
        <f t="shared" si="34"/>
        <v>272389</v>
      </c>
      <c r="R40" s="88">
        <f t="shared" si="34"/>
        <v>28280</v>
      </c>
      <c r="S40" s="88">
        <f t="shared" si="34"/>
        <v>10233</v>
      </c>
      <c r="T40" s="88">
        <f>T35</f>
        <v>-43987</v>
      </c>
    </row>
    <row r="41" spans="2:30">
      <c r="B41" s="73" t="s">
        <v>365</v>
      </c>
      <c r="C41" s="703">
        <v>1499240</v>
      </c>
      <c r="D41" s="574">
        <v>1006660</v>
      </c>
      <c r="E41" s="574">
        <v>769763</v>
      </c>
      <c r="F41" s="574">
        <v>634096</v>
      </c>
      <c r="G41" s="574">
        <v>613398</v>
      </c>
      <c r="H41" s="575">
        <v>473640</v>
      </c>
      <c r="I41" s="570">
        <v>370789</v>
      </c>
      <c r="J41" s="568">
        <v>322527</v>
      </c>
      <c r="L41" s="88" t="s">
        <v>366</v>
      </c>
      <c r="M41" s="617">
        <v>3688326</v>
      </c>
      <c r="N41" s="88">
        <f>DRE!D3</f>
        <v>3926631</v>
      </c>
      <c r="O41" s="88">
        <f>DRE!E3</f>
        <v>4993235</v>
      </c>
      <c r="P41" s="88">
        <f>DRE!F3</f>
        <v>3365487</v>
      </c>
      <c r="Q41" s="88">
        <f>DRE!G3</f>
        <v>2192173</v>
      </c>
      <c r="R41" s="88">
        <f>DRE!H3</f>
        <v>1915308</v>
      </c>
      <c r="S41" s="88">
        <f>DRE!I3</f>
        <v>1890654</v>
      </c>
      <c r="T41" s="88">
        <f>DRE!J3</f>
        <v>1913608</v>
      </c>
    </row>
    <row r="42" spans="2:30">
      <c r="B42" s="73" t="s">
        <v>32</v>
      </c>
      <c r="C42" s="602">
        <v>765802</v>
      </c>
      <c r="D42" s="565">
        <v>502346</v>
      </c>
      <c r="E42" s="565">
        <v>383872</v>
      </c>
      <c r="F42" s="565">
        <v>339982</v>
      </c>
      <c r="G42" s="565">
        <v>337585</v>
      </c>
      <c r="H42" s="566">
        <v>206351</v>
      </c>
      <c r="I42" s="567">
        <v>192540</v>
      </c>
      <c r="J42" s="568">
        <v>149661</v>
      </c>
      <c r="L42" s="89"/>
      <c r="M42" s="89"/>
      <c r="N42" s="89"/>
      <c r="O42" s="89"/>
      <c r="P42" s="89"/>
      <c r="Q42" s="86"/>
      <c r="R42" s="86"/>
      <c r="S42" s="86"/>
      <c r="T42" s="86"/>
    </row>
    <row r="43" spans="2:30">
      <c r="B43" s="73" t="s">
        <v>342</v>
      </c>
      <c r="C43" s="702">
        <v>1646121</v>
      </c>
      <c r="D43" s="574">
        <v>1596427</v>
      </c>
      <c r="E43" s="574">
        <v>1406320</v>
      </c>
      <c r="F43" s="574">
        <v>1181661</v>
      </c>
      <c r="G43" s="574">
        <v>1033138</v>
      </c>
      <c r="H43" s="575">
        <v>534894</v>
      </c>
      <c r="I43" s="570">
        <v>509908</v>
      </c>
      <c r="J43" s="568">
        <v>506375</v>
      </c>
      <c r="L43" s="73"/>
      <c r="M43" s="73" t="s">
        <v>310</v>
      </c>
      <c r="N43" s="73" t="s">
        <v>311</v>
      </c>
      <c r="O43" s="74" t="s">
        <v>312</v>
      </c>
      <c r="P43" s="74" t="s">
        <v>313</v>
      </c>
      <c r="Q43" s="77" t="s">
        <v>314</v>
      </c>
      <c r="R43" s="77" t="s">
        <v>315</v>
      </c>
      <c r="S43" s="77" t="s">
        <v>316</v>
      </c>
      <c r="T43" s="280" t="s">
        <v>317</v>
      </c>
    </row>
    <row r="44" spans="2:30">
      <c r="G44" s="82"/>
      <c r="H44" s="82"/>
      <c r="I44" s="82"/>
      <c r="J44" s="82"/>
      <c r="L44" s="272" t="s">
        <v>367</v>
      </c>
      <c r="M44" s="290">
        <f t="shared" ref="M44:T44" si="35">M45/M46</f>
        <v>2.4329268350792476E-2</v>
      </c>
      <c r="N44" s="290">
        <f t="shared" si="35"/>
        <v>0.18007811827775216</v>
      </c>
      <c r="O44" s="290">
        <f t="shared" si="35"/>
        <v>0.19985876773835515</v>
      </c>
      <c r="P44" s="290">
        <f t="shared" si="35"/>
        <v>0.22404458314399345</v>
      </c>
      <c r="Q44" s="290">
        <f t="shared" si="35"/>
        <v>0.23468519625946727</v>
      </c>
      <c r="R44" s="290">
        <f t="shared" si="35"/>
        <v>1.7353670038092392E-2</v>
      </c>
      <c r="S44" s="290">
        <f t="shared" si="35"/>
        <v>-8.3179877025121945E-2</v>
      </c>
      <c r="T44" s="290">
        <f t="shared" si="35"/>
        <v>-7.2019015634909672E-2</v>
      </c>
    </row>
    <row r="45" spans="2:30">
      <c r="B45" s="73"/>
      <c r="C45" s="73" t="s">
        <v>310</v>
      </c>
      <c r="D45" s="74" t="s">
        <v>311</v>
      </c>
      <c r="E45" s="74" t="s">
        <v>312</v>
      </c>
      <c r="F45" s="74" t="s">
        <v>313</v>
      </c>
      <c r="G45" s="74" t="s">
        <v>314</v>
      </c>
      <c r="H45" s="74" t="s">
        <v>315</v>
      </c>
      <c r="I45" s="74" t="s">
        <v>316</v>
      </c>
      <c r="J45" s="74" t="s">
        <v>317</v>
      </c>
      <c r="L45" s="73" t="s">
        <v>368</v>
      </c>
      <c r="M45" s="73">
        <f>W19</f>
        <v>31210.169342837005</v>
      </c>
      <c r="N45" s="73">
        <f>X19</f>
        <v>249540.19107538433</v>
      </c>
      <c r="O45" s="73">
        <f>Y19</f>
        <v>306180.63429364399</v>
      </c>
      <c r="P45" s="73">
        <f t="shared" ref="P45:S45" si="36">Z19</f>
        <v>201774.99966864678</v>
      </c>
      <c r="Q45" s="73">
        <f t="shared" si="36"/>
        <v>179049.3155230204</v>
      </c>
      <c r="R45" s="73">
        <f t="shared" si="36"/>
        <v>12357.964922206505</v>
      </c>
      <c r="S45" s="73">
        <f t="shared" si="36"/>
        <v>-50759.272256425291</v>
      </c>
      <c r="T45" s="73">
        <f>T31</f>
        <v>-42273.505740332374</v>
      </c>
    </row>
    <row r="46" spans="2:30">
      <c r="B46" s="272" t="s">
        <v>369</v>
      </c>
      <c r="C46" s="290">
        <f>(C47-C48)/(C49+C50)</f>
        <v>0.24745831906433616</v>
      </c>
      <c r="D46" s="290">
        <f>(D47-D48)/(D49+D50)</f>
        <v>0.19048198195475999</v>
      </c>
      <c r="E46" s="290">
        <f>(E47-E48)/(E49+E50)</f>
        <v>0.15902459890579954</v>
      </c>
      <c r="F46" s="290">
        <f t="shared" ref="F46:I46" si="37">(F47-F48)/(F49+F50)</f>
        <v>0.16191380605950503</v>
      </c>
      <c r="G46" s="290">
        <f>(G47-G48)/(G49+G50)</f>
        <v>0.18973132751325408</v>
      </c>
      <c r="H46" s="290">
        <f t="shared" si="37"/>
        <v>0.34873092208093814</v>
      </c>
      <c r="I46" s="290">
        <f t="shared" si="37"/>
        <v>0.26304263454355759</v>
      </c>
      <c r="J46" s="290">
        <f>(J47-J48)/(J49+J50)</f>
        <v>0.26881073339584527</v>
      </c>
      <c r="L46" s="73" t="s">
        <v>354</v>
      </c>
      <c r="M46" s="73">
        <f>W30</f>
        <v>1282824</v>
      </c>
      <c r="N46" s="73">
        <f>X30</f>
        <v>1385733</v>
      </c>
      <c r="O46" s="73">
        <f>Y30</f>
        <v>1531985</v>
      </c>
      <c r="P46" s="73">
        <f t="shared" ref="P46:S46" si="38">Z30</f>
        <v>900602</v>
      </c>
      <c r="Q46" s="73">
        <f t="shared" si="38"/>
        <v>762934</v>
      </c>
      <c r="R46" s="73">
        <f t="shared" si="38"/>
        <v>712124</v>
      </c>
      <c r="S46" s="73">
        <f t="shared" si="38"/>
        <v>610235</v>
      </c>
      <c r="T46" s="73">
        <f>AD30</f>
        <v>586977</v>
      </c>
    </row>
    <row r="47" spans="2:30">
      <c r="B47" s="73" t="s">
        <v>365</v>
      </c>
      <c r="C47" s="703">
        <v>1499240</v>
      </c>
      <c r="D47" s="92">
        <f>D41</f>
        <v>1006660</v>
      </c>
      <c r="E47" s="92">
        <f>BP!E19</f>
        <v>769763</v>
      </c>
      <c r="F47" s="92">
        <f>BP!F19</f>
        <v>634096</v>
      </c>
      <c r="G47" s="92">
        <f>BP!G19</f>
        <v>613398</v>
      </c>
      <c r="H47" s="92">
        <f>BP!H19</f>
        <v>473640</v>
      </c>
      <c r="I47" s="92">
        <f>BP!I19</f>
        <v>370789</v>
      </c>
      <c r="J47" s="92">
        <f>BP!J19</f>
        <v>322527</v>
      </c>
    </row>
    <row r="48" spans="2:30">
      <c r="B48" s="73" t="s">
        <v>32</v>
      </c>
      <c r="C48" s="602">
        <v>765802</v>
      </c>
      <c r="D48" s="92">
        <f>D42</f>
        <v>502346</v>
      </c>
      <c r="E48" s="92">
        <f>BP!E20</f>
        <v>383872</v>
      </c>
      <c r="F48" s="92">
        <f>BP!F20</f>
        <v>339982</v>
      </c>
      <c r="G48" s="92">
        <f>BP!G20</f>
        <v>337585</v>
      </c>
      <c r="H48" s="92">
        <f>BP!H20</f>
        <v>206351</v>
      </c>
      <c r="I48" s="92">
        <f>BP!I20</f>
        <v>192540</v>
      </c>
      <c r="J48" s="92">
        <f>BP!J20</f>
        <v>149661</v>
      </c>
      <c r="L48" s="73"/>
      <c r="M48" s="73" t="s">
        <v>310</v>
      </c>
      <c r="N48" s="73" t="s">
        <v>311</v>
      </c>
      <c r="O48" s="74" t="s">
        <v>312</v>
      </c>
      <c r="P48" s="74" t="s">
        <v>313</v>
      </c>
      <c r="Q48" s="77" t="s">
        <v>314</v>
      </c>
      <c r="R48" s="77" t="s">
        <v>315</v>
      </c>
      <c r="S48" s="77" t="s">
        <v>316</v>
      </c>
      <c r="T48" s="280" t="s">
        <v>317</v>
      </c>
    </row>
    <row r="49" spans="2:20">
      <c r="B49" s="73" t="s">
        <v>342</v>
      </c>
      <c r="C49" s="702">
        <v>1646121</v>
      </c>
      <c r="D49" s="92">
        <f>D43</f>
        <v>1596427</v>
      </c>
      <c r="E49" s="92">
        <f>BP!E68</f>
        <v>1406320</v>
      </c>
      <c r="F49" s="92">
        <f>BP!F68</f>
        <v>1181661</v>
      </c>
      <c r="G49" s="92">
        <f>BP!G68</f>
        <v>1033138</v>
      </c>
      <c r="H49" s="92">
        <f>BP!H68</f>
        <v>534894</v>
      </c>
      <c r="I49" s="92">
        <f>BP!I68</f>
        <v>509908</v>
      </c>
      <c r="J49" s="92">
        <f>J32</f>
        <v>506375</v>
      </c>
      <c r="L49" s="272" t="s">
        <v>370</v>
      </c>
      <c r="M49" s="290">
        <f t="shared" ref="M49:T49" si="39">M50/M51</f>
        <v>2.8751613627434471</v>
      </c>
      <c r="N49" s="290">
        <f t="shared" si="39"/>
        <v>2.8336129687320719</v>
      </c>
      <c r="O49" s="290">
        <f t="shared" si="39"/>
        <v>3.2593236878951166</v>
      </c>
      <c r="P49" s="290">
        <f t="shared" si="39"/>
        <v>3.736930408771022</v>
      </c>
      <c r="Q49" s="290">
        <f t="shared" si="39"/>
        <v>2.8733455318546559</v>
      </c>
      <c r="R49" s="290">
        <f t="shared" si="39"/>
        <v>2.6895709174244935</v>
      </c>
      <c r="S49" s="290">
        <f t="shared" si="39"/>
        <v>3.098239202930019</v>
      </c>
      <c r="T49" s="290">
        <f t="shared" si="39"/>
        <v>3.2601072955158381</v>
      </c>
    </row>
    <row r="50" spans="2:20">
      <c r="B50" s="73" t="s">
        <v>97</v>
      </c>
      <c r="C50" s="702">
        <v>1317764</v>
      </c>
      <c r="D50" s="574">
        <v>1051141</v>
      </c>
      <c r="E50" s="574">
        <v>1020292</v>
      </c>
      <c r="F50" s="574">
        <v>634824</v>
      </c>
      <c r="G50" s="574">
        <v>420565</v>
      </c>
      <c r="H50" s="575">
        <v>231568</v>
      </c>
      <c r="I50" s="570">
        <v>167735</v>
      </c>
      <c r="J50" s="568">
        <v>136702</v>
      </c>
      <c r="L50" s="73" t="s">
        <v>322</v>
      </c>
      <c r="M50" s="617">
        <v>3688326</v>
      </c>
      <c r="N50" s="92">
        <f>DRE!D3</f>
        <v>3926631</v>
      </c>
      <c r="O50" s="92">
        <f>DRE!E3</f>
        <v>4993235</v>
      </c>
      <c r="P50" s="92">
        <f>DRE!F3</f>
        <v>3365487</v>
      </c>
      <c r="Q50" s="92">
        <f>DRE!G3</f>
        <v>2192173</v>
      </c>
      <c r="R50" s="92">
        <f>DRE!H3</f>
        <v>1915308</v>
      </c>
      <c r="S50" s="92">
        <f>DRE!I3</f>
        <v>1890654</v>
      </c>
      <c r="T50" s="92">
        <f>T41</f>
        <v>1913608</v>
      </c>
    </row>
    <row r="51" spans="2:20">
      <c r="L51" s="73" t="s">
        <v>354</v>
      </c>
      <c r="M51" s="73">
        <f>M46</f>
        <v>1282824</v>
      </c>
      <c r="N51" s="92">
        <f>X30</f>
        <v>1385733</v>
      </c>
      <c r="O51" s="92">
        <f>Y30</f>
        <v>1531985</v>
      </c>
      <c r="P51" s="92">
        <f t="shared" ref="P51:S51" si="40">Z30</f>
        <v>900602</v>
      </c>
      <c r="Q51" s="92">
        <f t="shared" si="40"/>
        <v>762934</v>
      </c>
      <c r="R51" s="92">
        <f t="shared" si="40"/>
        <v>712124</v>
      </c>
      <c r="S51" s="92">
        <f t="shared" si="40"/>
        <v>610235</v>
      </c>
      <c r="T51" s="92">
        <f>AD30</f>
        <v>586977</v>
      </c>
    </row>
    <row r="53" spans="2:20">
      <c r="B53" s="73"/>
      <c r="C53" s="73" t="s">
        <v>310</v>
      </c>
      <c r="D53" s="74" t="s">
        <v>311</v>
      </c>
      <c r="E53" s="74" t="s">
        <v>312</v>
      </c>
      <c r="F53" s="74" t="s">
        <v>313</v>
      </c>
      <c r="G53" s="74" t="s">
        <v>314</v>
      </c>
      <c r="H53" s="74" t="s">
        <v>315</v>
      </c>
      <c r="I53" s="74" t="s">
        <v>316</v>
      </c>
      <c r="J53" s="74" t="s">
        <v>317</v>
      </c>
    </row>
    <row r="54" spans="2:20">
      <c r="B54" s="272" t="s">
        <v>371</v>
      </c>
      <c r="C54" s="290">
        <f t="shared" ref="C54:J54" si="41">(C55/C56)*C57</f>
        <v>144.74962277822615</v>
      </c>
      <c r="D54" s="290">
        <f t="shared" si="41"/>
        <v>160.12568511875625</v>
      </c>
      <c r="E54" s="290">
        <f t="shared" si="41"/>
        <v>133.70652878799771</v>
      </c>
      <c r="F54" s="290">
        <f t="shared" si="41"/>
        <v>237.58372255024395</v>
      </c>
      <c r="G54" s="290">
        <f t="shared" si="41"/>
        <v>135.1927840970686</v>
      </c>
      <c r="H54" s="290">
        <f t="shared" si="41"/>
        <v>125.74138099219621</v>
      </c>
      <c r="I54" s="290">
        <f t="shared" si="41"/>
        <v>135.82596877133426</v>
      </c>
      <c r="J54" s="290">
        <f t="shared" si="41"/>
        <v>130.17818228928667</v>
      </c>
      <c r="L54" s="73"/>
      <c r="M54" s="73" t="s">
        <v>310</v>
      </c>
      <c r="N54" s="73" t="s">
        <v>311</v>
      </c>
      <c r="O54" s="74" t="s">
        <v>312</v>
      </c>
      <c r="P54" s="74" t="s">
        <v>313</v>
      </c>
      <c r="Q54" s="74" t="s">
        <v>314</v>
      </c>
      <c r="R54" s="74" t="s">
        <v>315</v>
      </c>
      <c r="S54" s="74" t="s">
        <v>316</v>
      </c>
      <c r="T54" s="74" t="s">
        <v>317</v>
      </c>
    </row>
    <row r="55" spans="2:20">
      <c r="B55" s="73" t="s">
        <v>372</v>
      </c>
      <c r="C55" s="602">
        <v>1096246</v>
      </c>
      <c r="D55" s="93">
        <f>D18</f>
        <v>1256483</v>
      </c>
      <c r="E55" s="93">
        <f>BP!E10</f>
        <v>1390723</v>
      </c>
      <c r="F55" s="93">
        <f>BP!F10</f>
        <v>1690347</v>
      </c>
      <c r="G55" s="93">
        <f>BP!G10</f>
        <v>645750</v>
      </c>
      <c r="H55" s="93">
        <f>BP!H10</f>
        <v>494422</v>
      </c>
      <c r="I55" s="93">
        <f>BP!I10</f>
        <v>534726</v>
      </c>
      <c r="J55" s="93">
        <f>BP!J10</f>
        <v>506539</v>
      </c>
      <c r="L55" s="272" t="s">
        <v>373</v>
      </c>
      <c r="M55" s="290">
        <f t="shared" ref="M55:T55" si="42">M56+M57</f>
        <v>229.94870903036332</v>
      </c>
      <c r="N55" s="290">
        <f t="shared" si="42"/>
        <v>283.41748411896788</v>
      </c>
      <c r="O55" s="290">
        <f t="shared" si="42"/>
        <v>216.48979354521424</v>
      </c>
      <c r="P55" s="290">
        <f t="shared" si="42"/>
        <v>320.2933348589529</v>
      </c>
      <c r="Q55" s="290">
        <f t="shared" si="42"/>
        <v>251.41812762606929</v>
      </c>
      <c r="R55" s="290">
        <f t="shared" si="42"/>
        <v>175.0307537719267</v>
      </c>
      <c r="S55" s="290">
        <f t="shared" si="42"/>
        <v>181.24830940055568</v>
      </c>
      <c r="T55" s="290">
        <f t="shared" si="42"/>
        <v>182.86911481047179</v>
      </c>
    </row>
    <row r="56" spans="2:20">
      <c r="B56" s="73" t="s">
        <v>374</v>
      </c>
      <c r="C56" s="614">
        <v>2764289</v>
      </c>
      <c r="D56" s="264">
        <v>2864102</v>
      </c>
      <c r="E56" s="264">
        <v>3796478</v>
      </c>
      <c r="F56" s="48">
        <v>2596881</v>
      </c>
      <c r="G56" s="48">
        <v>1743427</v>
      </c>
      <c r="H56" s="48">
        <v>1435200</v>
      </c>
      <c r="I56" s="143">
        <v>1436949</v>
      </c>
      <c r="J56" s="157">
        <v>1420259</v>
      </c>
      <c r="L56" s="87" t="s">
        <v>375</v>
      </c>
      <c r="M56" s="87">
        <f>C54</f>
        <v>144.74962277822615</v>
      </c>
      <c r="N56" s="74">
        <f>D54</f>
        <v>160.12568511875625</v>
      </c>
      <c r="O56" s="74">
        <f t="shared" ref="N56:T56" si="43">E54</f>
        <v>133.70652878799771</v>
      </c>
      <c r="P56" s="74">
        <f t="shared" si="43"/>
        <v>237.58372255024395</v>
      </c>
      <c r="Q56" s="74">
        <f t="shared" si="43"/>
        <v>135.1927840970686</v>
      </c>
      <c r="R56" s="74">
        <f t="shared" si="43"/>
        <v>125.74138099219621</v>
      </c>
      <c r="S56" s="74">
        <f t="shared" si="43"/>
        <v>135.82596877133426</v>
      </c>
      <c r="T56" s="74">
        <f t="shared" si="43"/>
        <v>130.17818228928667</v>
      </c>
    </row>
    <row r="57" spans="2:20">
      <c r="B57" s="73" t="s">
        <v>376</v>
      </c>
      <c r="C57" s="691">
        <v>365</v>
      </c>
      <c r="D57" s="92">
        <v>365</v>
      </c>
      <c r="E57" s="92">
        <v>365</v>
      </c>
      <c r="F57" s="92">
        <v>365</v>
      </c>
      <c r="G57" s="92">
        <v>365</v>
      </c>
      <c r="H57" s="92">
        <v>365</v>
      </c>
      <c r="I57" s="92">
        <v>365</v>
      </c>
      <c r="J57" s="92">
        <f>I57</f>
        <v>365</v>
      </c>
      <c r="L57" s="87" t="s">
        <v>377</v>
      </c>
      <c r="M57" s="87">
        <f>C60</f>
        <v>85.19908625213715</v>
      </c>
      <c r="N57" s="74">
        <f t="shared" ref="N57:T57" si="44">D60</f>
        <v>123.29179900021163</v>
      </c>
      <c r="O57" s="74">
        <f t="shared" si="44"/>
        <v>82.783264757216514</v>
      </c>
      <c r="P57" s="74">
        <f t="shared" si="44"/>
        <v>82.709612308708969</v>
      </c>
      <c r="Q57" s="74">
        <f t="shared" si="44"/>
        <v>116.22534352900068</v>
      </c>
      <c r="R57" s="74">
        <f t="shared" si="44"/>
        <v>49.289372779730471</v>
      </c>
      <c r="S57" s="74">
        <f t="shared" si="44"/>
        <v>45.422340629221424</v>
      </c>
      <c r="T57" s="74">
        <f t="shared" si="44"/>
        <v>52.690932521185111</v>
      </c>
    </row>
    <row r="58" spans="2:20">
      <c r="B58" s="90"/>
      <c r="C58" s="91"/>
      <c r="D58" s="91"/>
      <c r="E58" s="91"/>
      <c r="F58" s="91"/>
      <c r="G58" s="82"/>
      <c r="H58" s="82"/>
      <c r="I58" s="82"/>
      <c r="J58" s="82"/>
      <c r="L58" s="91"/>
      <c r="M58" s="91"/>
      <c r="N58" s="91"/>
      <c r="O58" s="91"/>
      <c r="P58" s="91"/>
    </row>
    <row r="59" spans="2:20">
      <c r="B59" s="73"/>
      <c r="C59" s="73" t="s">
        <v>310</v>
      </c>
      <c r="D59" s="74" t="s">
        <v>311</v>
      </c>
      <c r="E59" s="74" t="s">
        <v>312</v>
      </c>
      <c r="F59" s="74" t="s">
        <v>313</v>
      </c>
      <c r="G59" s="74" t="s">
        <v>314</v>
      </c>
      <c r="H59" s="74" t="s">
        <v>315</v>
      </c>
      <c r="I59" s="74" t="s">
        <v>316</v>
      </c>
      <c r="J59" s="74" t="s">
        <v>317</v>
      </c>
      <c r="L59" s="73"/>
      <c r="M59" s="73" t="s">
        <v>310</v>
      </c>
      <c r="N59" s="73" t="s">
        <v>311</v>
      </c>
      <c r="O59" s="74" t="s">
        <v>312</v>
      </c>
      <c r="P59" s="74" t="s">
        <v>313</v>
      </c>
      <c r="Q59" s="74" t="s">
        <v>314</v>
      </c>
      <c r="R59" s="74" t="s">
        <v>315</v>
      </c>
      <c r="S59" s="74" t="s">
        <v>316</v>
      </c>
      <c r="T59" s="74" t="s">
        <v>317</v>
      </c>
    </row>
    <row r="60" spans="2:20">
      <c r="B60" s="272" t="s">
        <v>378</v>
      </c>
      <c r="C60" s="290">
        <f t="shared" ref="C60:J60" si="45">(C61/C62)*C63</f>
        <v>85.19908625213715</v>
      </c>
      <c r="D60" s="290">
        <f t="shared" si="45"/>
        <v>123.29179900021163</v>
      </c>
      <c r="E60" s="290">
        <f t="shared" si="45"/>
        <v>82.783264757216514</v>
      </c>
      <c r="F60" s="290">
        <f t="shared" si="45"/>
        <v>82.709612308708969</v>
      </c>
      <c r="G60" s="290">
        <f t="shared" si="45"/>
        <v>116.22534352900068</v>
      </c>
      <c r="H60" s="290">
        <f t="shared" si="45"/>
        <v>49.289372779730471</v>
      </c>
      <c r="I60" s="290">
        <f t="shared" si="45"/>
        <v>45.422340629221424</v>
      </c>
      <c r="J60" s="290">
        <f t="shared" si="45"/>
        <v>52.690932521185111</v>
      </c>
      <c r="L60" s="272" t="s">
        <v>379</v>
      </c>
      <c r="M60" s="290">
        <f t="shared" ref="M60:T60" si="46">M61-M62</f>
        <v>137.96359333501587</v>
      </c>
      <c r="N60" s="290">
        <f t="shared" si="46"/>
        <v>171.57219284721464</v>
      </c>
      <c r="O60" s="290">
        <f t="shared" si="46"/>
        <v>155.06197241761282</v>
      </c>
      <c r="P60" s="290">
        <f t="shared" si="46"/>
        <v>201.9453996495163</v>
      </c>
      <c r="Q60" s="290">
        <f t="shared" si="46"/>
        <v>145.32321918941915</v>
      </c>
      <c r="R60" s="290">
        <f t="shared" si="46"/>
        <v>75.806328794423493</v>
      </c>
      <c r="S60" s="290">
        <f t="shared" si="46"/>
        <v>71.939234102035329</v>
      </c>
      <c r="T60" s="290">
        <f t="shared" si="46"/>
        <v>63.620177316184183</v>
      </c>
    </row>
    <row r="61" spans="2:20">
      <c r="B61" s="73" t="s">
        <v>380</v>
      </c>
      <c r="C61" s="602">
        <v>860937</v>
      </c>
      <c r="D61" s="16">
        <v>1326360</v>
      </c>
      <c r="E61" s="16">
        <v>1132483</v>
      </c>
      <c r="F61" s="16">
        <v>762625</v>
      </c>
      <c r="G61" s="16">
        <v>698044</v>
      </c>
      <c r="H61" s="126">
        <v>258642</v>
      </c>
      <c r="I61" s="132">
        <v>235282</v>
      </c>
      <c r="J61" s="133">
        <v>276246</v>
      </c>
      <c r="L61" s="87" t="s">
        <v>381</v>
      </c>
      <c r="M61" s="87">
        <f>M55</f>
        <v>229.94870903036332</v>
      </c>
      <c r="N61" s="74">
        <f>N55</f>
        <v>283.41748411896788</v>
      </c>
      <c r="O61" s="74">
        <f>O55</f>
        <v>216.48979354521424</v>
      </c>
      <c r="P61" s="74">
        <f t="shared" ref="P61:S61" si="47">P55</f>
        <v>320.2933348589529</v>
      </c>
      <c r="Q61" s="74">
        <f t="shared" si="47"/>
        <v>251.41812762606929</v>
      </c>
      <c r="R61" s="74">
        <f t="shared" si="47"/>
        <v>175.0307537719267</v>
      </c>
      <c r="S61" s="74">
        <f t="shared" si="47"/>
        <v>181.24830940055568</v>
      </c>
      <c r="T61" s="74">
        <f>T55</f>
        <v>182.86911481047179</v>
      </c>
    </row>
    <row r="62" spans="2:20">
      <c r="B62" s="73" t="s">
        <v>382</v>
      </c>
      <c r="C62" s="617">
        <v>3688326</v>
      </c>
      <c r="D62" s="263">
        <v>3926631</v>
      </c>
      <c r="E62" s="263">
        <v>4993235</v>
      </c>
      <c r="F62" s="66">
        <v>3365487</v>
      </c>
      <c r="G62" s="66">
        <v>2192173</v>
      </c>
      <c r="H62" s="66">
        <v>1915308</v>
      </c>
      <c r="I62" s="142">
        <v>1890654</v>
      </c>
      <c r="J62" s="163">
        <v>1913608</v>
      </c>
      <c r="L62" s="73" t="s">
        <v>383</v>
      </c>
      <c r="M62" s="73">
        <f>C66</f>
        <v>91.985115695347446</v>
      </c>
      <c r="N62" s="74">
        <f t="shared" ref="N62:T62" si="48">D66</f>
        <v>111.84529127175323</v>
      </c>
      <c r="O62" s="74">
        <f t="shared" si="48"/>
        <v>61.427821127601419</v>
      </c>
      <c r="P62" s="74">
        <f t="shared" si="48"/>
        <v>118.3479352094366</v>
      </c>
      <c r="Q62" s="74">
        <f t="shared" si="48"/>
        <v>106.09490843665016</v>
      </c>
      <c r="R62" s="74">
        <f t="shared" si="48"/>
        <v>99.224424977503205</v>
      </c>
      <c r="S62" s="74">
        <f t="shared" si="48"/>
        <v>109.30907529852036</v>
      </c>
      <c r="T62" s="74">
        <f t="shared" si="48"/>
        <v>119.2489374942876</v>
      </c>
    </row>
    <row r="63" spans="2:20">
      <c r="B63" s="73" t="s">
        <v>376</v>
      </c>
      <c r="C63" s="92">
        <v>365</v>
      </c>
      <c r="D63" s="92">
        <v>365</v>
      </c>
      <c r="E63" s="92">
        <v>365</v>
      </c>
      <c r="F63" s="92">
        <v>365</v>
      </c>
      <c r="G63" s="92">
        <v>365</v>
      </c>
      <c r="H63" s="92">
        <v>365</v>
      </c>
      <c r="I63" s="92">
        <v>365</v>
      </c>
      <c r="J63" s="92">
        <f>I63</f>
        <v>365</v>
      </c>
    </row>
    <row r="64" spans="2:20">
      <c r="G64" s="82"/>
      <c r="H64" s="82"/>
      <c r="I64" s="82"/>
      <c r="J64" s="82"/>
      <c r="L64" s="73"/>
      <c r="M64" s="73" t="s">
        <v>310</v>
      </c>
      <c r="N64" s="73" t="s">
        <v>311</v>
      </c>
      <c r="O64" s="74" t="s">
        <v>312</v>
      </c>
      <c r="P64" s="74" t="s">
        <v>313</v>
      </c>
      <c r="Q64" s="74" t="s">
        <v>314</v>
      </c>
      <c r="R64" s="74" t="s">
        <v>315</v>
      </c>
      <c r="S64" s="74" t="s">
        <v>316</v>
      </c>
      <c r="T64" s="74" t="s">
        <v>317</v>
      </c>
    </row>
    <row r="65" spans="2:20">
      <c r="B65" s="73"/>
      <c r="C65" s="73" t="s">
        <v>310</v>
      </c>
      <c r="D65" s="74" t="s">
        <v>311</v>
      </c>
      <c r="E65" s="74" t="s">
        <v>312</v>
      </c>
      <c r="F65" s="74" t="s">
        <v>313</v>
      </c>
      <c r="G65" s="74" t="s">
        <v>314</v>
      </c>
      <c r="H65" s="74" t="s">
        <v>315</v>
      </c>
      <c r="I65" s="74" t="s">
        <v>316</v>
      </c>
      <c r="J65" s="74" t="s">
        <v>317</v>
      </c>
      <c r="L65" s="272" t="s">
        <v>384</v>
      </c>
      <c r="M65" s="290">
        <f t="shared" ref="M65:T65" si="49">M66+M67</f>
        <v>226.79872671487888</v>
      </c>
      <c r="N65" s="290">
        <f t="shared" si="49"/>
        <v>279.53505282966694</v>
      </c>
      <c r="O65" s="290">
        <f t="shared" si="49"/>
        <v>213.5241799350058</v>
      </c>
      <c r="P65" s="290">
        <f t="shared" si="49"/>
        <v>315.90575492937819</v>
      </c>
      <c r="Q65" s="290">
        <f t="shared" si="49"/>
        <v>247.97404368598615</v>
      </c>
      <c r="R65" s="290">
        <f t="shared" si="49"/>
        <v>172.63307221340716</v>
      </c>
      <c r="S65" s="290">
        <f t="shared" si="49"/>
        <v>178.76545584712341</v>
      </c>
      <c r="T65" s="290">
        <f t="shared" si="49"/>
        <v>180.36405844320504</v>
      </c>
    </row>
    <row r="66" spans="2:20">
      <c r="B66" s="272" t="s">
        <v>385</v>
      </c>
      <c r="C66" s="290">
        <f t="shared" ref="C66:J66" si="50">(C67/C68)*C69</f>
        <v>91.985115695347446</v>
      </c>
      <c r="D66" s="290">
        <f t="shared" si="50"/>
        <v>111.84529127175323</v>
      </c>
      <c r="E66" s="290">
        <f t="shared" si="50"/>
        <v>61.427821127601419</v>
      </c>
      <c r="F66" s="290">
        <f t="shared" si="50"/>
        <v>118.3479352094366</v>
      </c>
      <c r="G66" s="290">
        <f t="shared" si="50"/>
        <v>106.09490843665016</v>
      </c>
      <c r="H66" s="290">
        <f t="shared" si="50"/>
        <v>99.224424977503205</v>
      </c>
      <c r="I66" s="290">
        <f t="shared" si="50"/>
        <v>109.30907529852036</v>
      </c>
      <c r="J66" s="290">
        <f t="shared" si="50"/>
        <v>119.2489374942876</v>
      </c>
      <c r="L66" s="87" t="s">
        <v>375</v>
      </c>
      <c r="M66" s="87">
        <f>C73</f>
        <v>142.76675123331896</v>
      </c>
      <c r="N66" s="74">
        <f t="shared" ref="N66:T66" si="51">D73</f>
        <v>157.93218258288286</v>
      </c>
      <c r="O66" s="74">
        <f t="shared" si="51"/>
        <v>131.87493250323061</v>
      </c>
      <c r="P66" s="74">
        <f t="shared" si="51"/>
        <v>234.32915100845977</v>
      </c>
      <c r="Q66" s="74">
        <f t="shared" si="51"/>
        <v>133.34082815053341</v>
      </c>
      <c r="R66" s="74">
        <f t="shared" si="51"/>
        <v>124.01889632107024</v>
      </c>
      <c r="S66" s="74">
        <f t="shared" si="51"/>
        <v>133.9653390621379</v>
      </c>
      <c r="T66" s="74">
        <f t="shared" si="51"/>
        <v>128.39491951820054</v>
      </c>
    </row>
    <row r="67" spans="2:20">
      <c r="B67" s="87" t="s">
        <v>70</v>
      </c>
      <c r="C67" s="609">
        <v>658247</v>
      </c>
      <c r="D67" s="16">
        <v>832121</v>
      </c>
      <c r="E67" s="16">
        <v>594245</v>
      </c>
      <c r="F67" s="16">
        <v>1186214</v>
      </c>
      <c r="G67" s="16">
        <v>562210</v>
      </c>
      <c r="H67" s="126">
        <v>383964</v>
      </c>
      <c r="I67" s="132">
        <v>449260</v>
      </c>
      <c r="J67" s="133">
        <v>486141</v>
      </c>
      <c r="L67" s="87" t="s">
        <v>377</v>
      </c>
      <c r="M67" s="87">
        <f>C79</f>
        <v>84.031975481559925</v>
      </c>
      <c r="N67" s="74">
        <f t="shared" ref="N67:T67" si="52">D79</f>
        <v>121.60287024678408</v>
      </c>
      <c r="O67" s="74">
        <f t="shared" si="52"/>
        <v>81.649247431775194</v>
      </c>
      <c r="P67" s="74">
        <f t="shared" si="52"/>
        <v>81.57660392091843</v>
      </c>
      <c r="Q67" s="74">
        <f t="shared" si="52"/>
        <v>114.63321553545273</v>
      </c>
      <c r="R67" s="74">
        <f t="shared" si="52"/>
        <v>48.614175892336903</v>
      </c>
      <c r="S67" s="74">
        <f t="shared" si="52"/>
        <v>44.800116784985512</v>
      </c>
      <c r="T67" s="74">
        <f t="shared" si="52"/>
        <v>51.969138925004494</v>
      </c>
    </row>
    <row r="68" spans="2:20">
      <c r="B68" s="278" t="s">
        <v>386</v>
      </c>
      <c r="C68" s="278">
        <f>-(DRE!C4+DFC!C22)</f>
        <v>2611946</v>
      </c>
      <c r="D68" s="92">
        <f>-(DRE!D$4+DFC!D$22)</f>
        <v>2715574</v>
      </c>
      <c r="E68" s="92">
        <f>-(DRE!E$4+DFC!E$22)</f>
        <v>3530964</v>
      </c>
      <c r="F68" s="92">
        <f>-(DRE!F$4+DFC!F$22)</f>
        <v>3658434</v>
      </c>
      <c r="G68" s="92">
        <f>-(DRE!G$4+DFC!G$22)</f>
        <v>1934180</v>
      </c>
      <c r="H68" s="92">
        <f>-(DRE!H$4+DFC!H$22)</f>
        <v>1412423</v>
      </c>
      <c r="I68" s="92">
        <f>-(DRE!I$4+DFC!I$22)</f>
        <v>1500149</v>
      </c>
      <c r="J68" s="92">
        <f>(-DRE!J4+(-DFC!J22))</f>
        <v>1487992</v>
      </c>
      <c r="L68" s="91"/>
      <c r="M68" s="91"/>
      <c r="N68" s="91"/>
      <c r="O68" s="91"/>
      <c r="P68" s="91"/>
    </row>
    <row r="69" spans="2:20">
      <c r="B69" s="73" t="s">
        <v>376</v>
      </c>
      <c r="C69" s="92">
        <v>365</v>
      </c>
      <c r="D69" s="92">
        <v>365</v>
      </c>
      <c r="E69" s="92">
        <v>365</v>
      </c>
      <c r="F69" s="92">
        <v>365</v>
      </c>
      <c r="G69" s="92">
        <v>365</v>
      </c>
      <c r="H69" s="92">
        <v>365</v>
      </c>
      <c r="I69" s="92">
        <v>365</v>
      </c>
      <c r="J69" s="92">
        <f>I69</f>
        <v>365</v>
      </c>
      <c r="L69" s="73"/>
      <c r="M69" s="73" t="s">
        <v>310</v>
      </c>
      <c r="N69" s="73" t="s">
        <v>311</v>
      </c>
      <c r="O69" s="74" t="s">
        <v>312</v>
      </c>
      <c r="P69" s="74" t="s">
        <v>313</v>
      </c>
      <c r="Q69" s="74" t="s">
        <v>314</v>
      </c>
      <c r="R69" s="74" t="s">
        <v>315</v>
      </c>
      <c r="S69" s="74" t="s">
        <v>316</v>
      </c>
      <c r="T69" s="74" t="s">
        <v>317</v>
      </c>
    </row>
    <row r="70" spans="2:20">
      <c r="L70" s="272" t="s">
        <v>387</v>
      </c>
      <c r="M70" s="290">
        <f t="shared" ref="M70:T70" si="53">M71-M72</f>
        <v>136.07368109754989</v>
      </c>
      <c r="N70" s="290">
        <f t="shared" si="53"/>
        <v>169.22188883560898</v>
      </c>
      <c r="O70" s="290">
        <f t="shared" si="53"/>
        <v>152.93783580915235</v>
      </c>
      <c r="P70" s="290">
        <f t="shared" si="53"/>
        <v>199.17902431185169</v>
      </c>
      <c r="Q70" s="290">
        <f t="shared" si="53"/>
        <v>143.3324901594271</v>
      </c>
      <c r="R70" s="290">
        <f t="shared" si="53"/>
        <v>74.767885934225916</v>
      </c>
      <c r="S70" s="290">
        <f t="shared" si="53"/>
        <v>70.95376514173347</v>
      </c>
      <c r="T70" s="290">
        <f t="shared" si="53"/>
        <v>62.748668037880279</v>
      </c>
    </row>
    <row r="71" spans="2:20">
      <c r="L71" s="87" t="s">
        <v>381</v>
      </c>
      <c r="M71" s="87">
        <f>M65</f>
        <v>226.79872671487888</v>
      </c>
      <c r="N71" s="74">
        <f>N65</f>
        <v>279.53505282966694</v>
      </c>
      <c r="O71" s="74">
        <f>O65</f>
        <v>213.5241799350058</v>
      </c>
      <c r="P71" s="74">
        <f t="shared" ref="P71:S71" si="54">P65</f>
        <v>315.90575492937819</v>
      </c>
      <c r="Q71" s="74">
        <f t="shared" si="54"/>
        <v>247.97404368598615</v>
      </c>
      <c r="R71" s="74">
        <f t="shared" si="54"/>
        <v>172.63307221340716</v>
      </c>
      <c r="S71" s="74">
        <f t="shared" si="54"/>
        <v>178.76545584712341</v>
      </c>
      <c r="T71" s="74">
        <f>T65</f>
        <v>180.36405844320504</v>
      </c>
    </row>
    <row r="72" spans="2:20">
      <c r="B72" s="73"/>
      <c r="C72" s="73" t="s">
        <v>310</v>
      </c>
      <c r="D72" s="74" t="s">
        <v>311</v>
      </c>
      <c r="E72" s="74" t="s">
        <v>312</v>
      </c>
      <c r="F72" s="74" t="s">
        <v>313</v>
      </c>
      <c r="G72" s="74" t="s">
        <v>314</v>
      </c>
      <c r="H72" s="74" t="s">
        <v>315</v>
      </c>
      <c r="I72" s="74" t="s">
        <v>316</v>
      </c>
      <c r="J72" s="74" t="s">
        <v>317</v>
      </c>
      <c r="L72" s="73" t="s">
        <v>383</v>
      </c>
      <c r="M72" s="73">
        <f>C85</f>
        <v>90.725045617328988</v>
      </c>
      <c r="N72" s="74">
        <f>D85</f>
        <v>110.31316399405797</v>
      </c>
      <c r="O72" s="74">
        <f>E85</f>
        <v>60.586344125853451</v>
      </c>
      <c r="P72" s="74">
        <f>F85</f>
        <v>116.7267306175265</v>
      </c>
      <c r="Q72" s="74">
        <f>G85</f>
        <v>104.64155352655906</v>
      </c>
      <c r="R72" s="74">
        <f>H85</f>
        <v>97.865186279181245</v>
      </c>
      <c r="S72" s="74">
        <f t="shared" ref="S72" si="55">I85</f>
        <v>107.81169070538994</v>
      </c>
      <c r="T72" s="74">
        <f>J85</f>
        <v>117.61539040532476</v>
      </c>
    </row>
    <row r="73" spans="2:20">
      <c r="B73" s="272" t="s">
        <v>388</v>
      </c>
      <c r="C73" s="290">
        <f t="shared" ref="C73:J73" si="56">(C74/C75)*C76</f>
        <v>142.76675123331896</v>
      </c>
      <c r="D73" s="290">
        <f t="shared" si="56"/>
        <v>157.93218258288286</v>
      </c>
      <c r="E73" s="290">
        <f t="shared" si="56"/>
        <v>131.87493250323061</v>
      </c>
      <c r="F73" s="290">
        <f t="shared" si="56"/>
        <v>234.32915100845977</v>
      </c>
      <c r="G73" s="290">
        <f t="shared" si="56"/>
        <v>133.34082815053341</v>
      </c>
      <c r="H73" s="290">
        <f t="shared" si="56"/>
        <v>124.01889632107024</v>
      </c>
      <c r="I73" s="290">
        <f t="shared" si="56"/>
        <v>133.9653390621379</v>
      </c>
      <c r="J73" s="290">
        <f t="shared" si="56"/>
        <v>128.39491951820054</v>
      </c>
    </row>
    <row r="74" spans="2:20">
      <c r="B74" s="73" t="s">
        <v>372</v>
      </c>
      <c r="C74" s="602">
        <v>1096246</v>
      </c>
      <c r="D74" s="92">
        <f>BP!D10</f>
        <v>1256483</v>
      </c>
      <c r="E74" s="92">
        <f>BP!E10</f>
        <v>1390723</v>
      </c>
      <c r="F74" s="92">
        <f>BP!F10</f>
        <v>1690347</v>
      </c>
      <c r="G74" s="92">
        <f>BP!G10</f>
        <v>645750</v>
      </c>
      <c r="H74" s="92">
        <f>BP!H10</f>
        <v>494422</v>
      </c>
      <c r="I74" s="92">
        <f>BP!I10</f>
        <v>534726</v>
      </c>
      <c r="J74" s="92">
        <f>BP!J10</f>
        <v>506539</v>
      </c>
    </row>
    <row r="75" spans="2:20">
      <c r="B75" s="73" t="s">
        <v>374</v>
      </c>
      <c r="C75" s="704">
        <v>2764289</v>
      </c>
      <c r="D75" s="92">
        <f>D56</f>
        <v>2864102</v>
      </c>
      <c r="E75" s="92">
        <f>-DRE!E4</f>
        <v>3796478</v>
      </c>
      <c r="F75" s="92">
        <f>-DRE!F4</f>
        <v>2596881</v>
      </c>
      <c r="G75" s="92">
        <f>-DRE!G4</f>
        <v>1743427</v>
      </c>
      <c r="H75" s="92">
        <f>-DRE!H4</f>
        <v>1435200</v>
      </c>
      <c r="I75" s="92">
        <f>-DRE!I4</f>
        <v>1436949</v>
      </c>
      <c r="J75" s="92">
        <f>-DRE!J4</f>
        <v>1420259</v>
      </c>
    </row>
    <row r="76" spans="2:20">
      <c r="B76" s="73" t="s">
        <v>376</v>
      </c>
      <c r="C76" s="92">
        <v>360</v>
      </c>
      <c r="D76" s="92">
        <v>360</v>
      </c>
      <c r="E76" s="92">
        <v>360</v>
      </c>
      <c r="F76" s="92">
        <v>360</v>
      </c>
      <c r="G76" s="92">
        <v>360</v>
      </c>
      <c r="H76" s="92">
        <v>360</v>
      </c>
      <c r="I76" s="92">
        <v>360</v>
      </c>
      <c r="J76" s="92">
        <f>I76</f>
        <v>360</v>
      </c>
    </row>
    <row r="77" spans="2:20">
      <c r="B77" s="90"/>
      <c r="C77" s="91"/>
      <c r="D77" s="91"/>
      <c r="E77" s="91"/>
      <c r="F77" s="91"/>
      <c r="G77" s="82"/>
      <c r="H77" s="82"/>
      <c r="I77" s="82"/>
      <c r="J77" s="82"/>
    </row>
    <row r="78" spans="2:20">
      <c r="B78" s="73"/>
      <c r="C78" s="73" t="s">
        <v>310</v>
      </c>
      <c r="D78" s="74" t="s">
        <v>311</v>
      </c>
      <c r="E78" s="74" t="s">
        <v>312</v>
      </c>
      <c r="F78" s="74" t="s">
        <v>313</v>
      </c>
      <c r="G78" s="74" t="s">
        <v>314</v>
      </c>
      <c r="H78" s="74" t="s">
        <v>315</v>
      </c>
      <c r="I78" s="74" t="s">
        <v>316</v>
      </c>
      <c r="J78" s="74" t="s">
        <v>317</v>
      </c>
    </row>
    <row r="79" spans="2:20">
      <c r="B79" s="272" t="s">
        <v>389</v>
      </c>
      <c r="C79" s="290">
        <f>(C80/C81)*C82</f>
        <v>84.031975481559925</v>
      </c>
      <c r="D79" s="290">
        <f>(D80/D81)*D82</f>
        <v>121.60287024678408</v>
      </c>
      <c r="E79" s="290">
        <f t="shared" ref="D79:J79" si="57">(E80/E81)*E82</f>
        <v>81.649247431775194</v>
      </c>
      <c r="F79" s="290">
        <f t="shared" si="57"/>
        <v>81.57660392091843</v>
      </c>
      <c r="G79" s="290">
        <f t="shared" si="57"/>
        <v>114.63321553545273</v>
      </c>
      <c r="H79" s="290">
        <f t="shared" si="57"/>
        <v>48.614175892336903</v>
      </c>
      <c r="I79" s="290">
        <f t="shared" si="57"/>
        <v>44.800116784985512</v>
      </c>
      <c r="J79" s="290">
        <f t="shared" si="57"/>
        <v>51.969138925004494</v>
      </c>
    </row>
    <row r="80" spans="2:20">
      <c r="B80" s="73" t="s">
        <v>380</v>
      </c>
      <c r="C80" s="602">
        <v>860937</v>
      </c>
      <c r="D80" s="92">
        <f>BP!D9</f>
        <v>1326360</v>
      </c>
      <c r="E80" s="92">
        <f>BP!E9</f>
        <v>1132483</v>
      </c>
      <c r="F80" s="92">
        <f>BP!F9</f>
        <v>762625</v>
      </c>
      <c r="G80" s="92">
        <f>BP!G9</f>
        <v>698044</v>
      </c>
      <c r="H80" s="92">
        <f>BP!H9</f>
        <v>258642</v>
      </c>
      <c r="I80" s="92">
        <f>BP!I9</f>
        <v>235282</v>
      </c>
      <c r="J80" s="92">
        <f>J61</f>
        <v>276246</v>
      </c>
    </row>
    <row r="81" spans="2:10">
      <c r="B81" s="73" t="s">
        <v>382</v>
      </c>
      <c r="C81" s="617">
        <v>3688326</v>
      </c>
      <c r="D81" s="92">
        <f>DRE!D3</f>
        <v>3926631</v>
      </c>
      <c r="E81" s="92">
        <f>DRE!E3</f>
        <v>4993235</v>
      </c>
      <c r="F81" s="92">
        <f>DRE!F3</f>
        <v>3365487</v>
      </c>
      <c r="G81" s="92">
        <f>DRE!G3</f>
        <v>2192173</v>
      </c>
      <c r="H81" s="92">
        <f>DRE!H3</f>
        <v>1915308</v>
      </c>
      <c r="I81" s="92">
        <f>DRE!I3</f>
        <v>1890654</v>
      </c>
      <c r="J81" s="92">
        <f>J62</f>
        <v>1913608</v>
      </c>
    </row>
    <row r="82" spans="2:10">
      <c r="B82" s="73" t="s">
        <v>376</v>
      </c>
      <c r="C82" s="92">
        <v>360</v>
      </c>
      <c r="D82" s="92">
        <v>360</v>
      </c>
      <c r="E82" s="92">
        <v>360</v>
      </c>
      <c r="F82" s="92">
        <v>360</v>
      </c>
      <c r="G82" s="92">
        <v>360</v>
      </c>
      <c r="H82" s="92">
        <v>360</v>
      </c>
      <c r="I82" s="92">
        <v>360</v>
      </c>
      <c r="J82" s="92">
        <f>I82</f>
        <v>360</v>
      </c>
    </row>
    <row r="83" spans="2:10">
      <c r="G83" s="82"/>
      <c r="H83" s="82"/>
      <c r="I83" s="82"/>
      <c r="J83" s="82"/>
    </row>
    <row r="84" spans="2:10">
      <c r="B84" s="73"/>
      <c r="C84" s="73" t="s">
        <v>310</v>
      </c>
      <c r="D84" s="74" t="s">
        <v>311</v>
      </c>
      <c r="E84" s="74" t="s">
        <v>312</v>
      </c>
      <c r="F84" s="74" t="s">
        <v>313</v>
      </c>
      <c r="G84" s="74" t="s">
        <v>314</v>
      </c>
      <c r="H84" s="74" t="s">
        <v>315</v>
      </c>
      <c r="I84" s="74" t="s">
        <v>316</v>
      </c>
      <c r="J84" s="74" t="s">
        <v>317</v>
      </c>
    </row>
    <row r="85" spans="2:10">
      <c r="B85" s="272" t="s">
        <v>390</v>
      </c>
      <c r="C85" s="290">
        <f>(C86/C87)*C88</f>
        <v>90.725045617328988</v>
      </c>
      <c r="D85" s="290">
        <f>(D86/D87)*D88</f>
        <v>110.31316399405797</v>
      </c>
      <c r="E85" s="290">
        <f t="shared" ref="E85:J85" si="58">(E86/E87)*E88</f>
        <v>60.586344125853451</v>
      </c>
      <c r="F85" s="290">
        <f t="shared" si="58"/>
        <v>116.7267306175265</v>
      </c>
      <c r="G85" s="290">
        <f t="shared" si="58"/>
        <v>104.64155352655906</v>
      </c>
      <c r="H85" s="290">
        <f t="shared" si="58"/>
        <v>97.865186279181245</v>
      </c>
      <c r="I85" s="290">
        <f t="shared" si="58"/>
        <v>107.81169070538994</v>
      </c>
      <c r="J85" s="290">
        <f t="shared" si="58"/>
        <v>117.61539040532476</v>
      </c>
    </row>
    <row r="86" spans="2:10">
      <c r="B86" s="87" t="s">
        <v>70</v>
      </c>
      <c r="C86" s="609">
        <v>658247</v>
      </c>
      <c r="D86" s="92">
        <f>D67</f>
        <v>832121</v>
      </c>
      <c r="E86" s="92">
        <f>BP!E39</f>
        <v>594245</v>
      </c>
      <c r="F86" s="92">
        <f>BP!F39</f>
        <v>1186214</v>
      </c>
      <c r="G86" s="92">
        <f>BP!G39</f>
        <v>562210</v>
      </c>
      <c r="H86" s="92">
        <f>BP!H39</f>
        <v>383964</v>
      </c>
      <c r="I86" s="92">
        <f>BP!I39</f>
        <v>449260</v>
      </c>
      <c r="J86" s="92">
        <f>J67</f>
        <v>486141</v>
      </c>
    </row>
    <row r="87" spans="2:10">
      <c r="B87" s="87" t="s">
        <v>386</v>
      </c>
      <c r="C87" s="278">
        <f>C68</f>
        <v>2611946</v>
      </c>
      <c r="D87" s="92">
        <f>D68</f>
        <v>2715574</v>
      </c>
      <c r="E87" s="92">
        <f>-(DRE!E$4+DFC!E$22)</f>
        <v>3530964</v>
      </c>
      <c r="F87" s="92">
        <f>-(DRE!F$4+DFC!F$22)</f>
        <v>3658434</v>
      </c>
      <c r="G87" s="92">
        <f>-(DRE!G$4+DFC!G$22)</f>
        <v>1934180</v>
      </c>
      <c r="H87" s="92">
        <f>-(DRE!H$4+DFC!H$22)</f>
        <v>1412423</v>
      </c>
      <c r="I87" s="92">
        <f>-(DRE!I$4+DFC!I$22)</f>
        <v>1500149</v>
      </c>
      <c r="J87" s="92">
        <f>J68</f>
        <v>1487992</v>
      </c>
    </row>
    <row r="88" spans="2:10">
      <c r="B88" s="73" t="s">
        <v>376</v>
      </c>
      <c r="C88" s="92">
        <f>D88</f>
        <v>360</v>
      </c>
      <c r="D88" s="92">
        <f>E88</f>
        <v>360</v>
      </c>
      <c r="E88" s="92">
        <v>360</v>
      </c>
      <c r="F88" s="92">
        <v>360</v>
      </c>
      <c r="G88" s="92">
        <v>360</v>
      </c>
      <c r="H88" s="92">
        <v>360</v>
      </c>
      <c r="I88" s="92">
        <v>360</v>
      </c>
      <c r="J88" s="92">
        <f>I88</f>
        <v>360</v>
      </c>
    </row>
  </sheetData>
  <mergeCells count="1">
    <mergeCell ref="AF6:AG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2022-09-13T11:05:08Z</dcterms:created>
  <dcterms:modified xsi:type="dcterms:W3CDTF">2025-11-05T01:04:45Z</dcterms:modified>
  <cp:category/>
  <cp:contentStatus/>
</cp:coreProperties>
</file>